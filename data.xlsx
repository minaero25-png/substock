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 stock Data" sheetId="1" r:id="rId4"/>
    <sheet state="visible" name="Price" sheetId="2" r:id="rId5"/>
  </sheets>
  <definedNames/>
  <calcPr/>
  <extLst>
    <ext uri="GoogleSheetsCustomDataVersion2">
      <go:sheetsCustomData xmlns:go="http://customooxmlschemas.google.com/" r:id="rId6" roundtripDataChecksum="HMAmdSbxcIt/eJBSa4PcyF0o+DHRLcDlTmTFL+9mxq8="/>
    </ext>
  </extLst>
</workbook>
</file>

<file path=xl/sharedStrings.xml><?xml version="1.0" encoding="utf-8"?>
<sst xmlns="http://schemas.openxmlformats.org/spreadsheetml/2006/main" count="360" uniqueCount="189">
  <si>
    <t>รหัสยา</t>
  </si>
  <si>
    <t>รายการทั้งหมด</t>
  </si>
  <si>
    <t>Lot number</t>
  </si>
  <si>
    <t>วันหมดอายุ</t>
  </si>
  <si>
    <t>จำนวน</t>
  </si>
  <si>
    <t>ราคา</t>
  </si>
  <si>
    <t>มูลค่า</t>
  </si>
  <si>
    <t>ประเภท</t>
  </si>
  <si>
    <t>เหลืออีกกี่วันจะหมดอายุ</t>
  </si>
  <si>
    <t>สถานะ</t>
  </si>
  <si>
    <t>exp in 6 mo =</t>
  </si>
  <si>
    <t>Lemon flavor</t>
  </si>
  <si>
    <t>2024012012</t>
  </si>
  <si>
    <t>สาร</t>
  </si>
  <si>
    <t>นำออกจากShelf แล้ว</t>
  </si>
  <si>
    <t>Trypan blue 0.4% 100ml</t>
  </si>
  <si>
    <t>2466078</t>
  </si>
  <si>
    <t>Saccharin</t>
  </si>
  <si>
    <t>20220304</t>
  </si>
  <si>
    <t>Chlohexidine gluconate 20%</t>
  </si>
  <si>
    <t>104240153</t>
  </si>
  <si>
    <t>95% Ethanol</t>
  </si>
  <si>
    <t>A1XD240422SL</t>
  </si>
  <si>
    <t>รอคืน/แลกเปลี่ยนกับบริษัท</t>
  </si>
  <si>
    <t>PEG 40 HYDROGENATED CASTOR OIL</t>
  </si>
  <si>
    <t>07655424U0</t>
  </si>
  <si>
    <t>Letrozole 2.5 mg กองซื้อ</t>
  </si>
  <si>
    <t>M411821</t>
  </si>
  <si>
    <t>ยางานเคมี</t>
  </si>
  <si>
    <t>Paclitaxel Mini spike เขียว</t>
  </si>
  <si>
    <t>21L21A8131</t>
  </si>
  <si>
    <t>Rasberry essence</t>
  </si>
  <si>
    <t>2024101808</t>
  </si>
  <si>
    <t>Dibasic sodium phosphate</t>
  </si>
  <si>
    <t>224243-1026</t>
  </si>
  <si>
    <t>Mitomycin C inj</t>
  </si>
  <si>
    <t>NN4462A</t>
  </si>
  <si>
    <t>C.M.C. sodium</t>
  </si>
  <si>
    <t>24111684</t>
  </si>
  <si>
    <t>Spironolactone 25mg</t>
  </si>
  <si>
    <t>2403321</t>
  </si>
  <si>
    <t>ยางานผลิต</t>
  </si>
  <si>
    <t>Famotidine tab</t>
  </si>
  <si>
    <t>2219</t>
  </si>
  <si>
    <t>Anise oil</t>
  </si>
  <si>
    <t>22311096</t>
  </si>
  <si>
    <t>สีผง Yellow Tartazine (Lemon Yellow)</t>
  </si>
  <si>
    <t>01L23</t>
  </si>
  <si>
    <t>22A08A8131</t>
  </si>
  <si>
    <t>Isoniasid 100mg</t>
  </si>
  <si>
    <t>T680065</t>
  </si>
  <si>
    <t>Omeprazole 20mg</t>
  </si>
  <si>
    <t>OP501A</t>
  </si>
  <si>
    <t>Boric acid</t>
  </si>
  <si>
    <t>230210-0127</t>
  </si>
  <si>
    <t>Hydroxypropyl MC (HPMC)</t>
  </si>
  <si>
    <t>5120223D33</t>
  </si>
  <si>
    <t>Baclofen 10mg tab</t>
  </si>
  <si>
    <t>AE10046</t>
  </si>
  <si>
    <t>Chloroxylenol 4.8% w/v (Dettol)</t>
  </si>
  <si>
    <t>AGC657</t>
  </si>
  <si>
    <t>Methyl Salicylate solution</t>
  </si>
  <si>
    <t>2404047</t>
  </si>
  <si>
    <t>Multivitamin tab</t>
  </si>
  <si>
    <t>A680310</t>
  </si>
  <si>
    <t>Sala Cider essence</t>
  </si>
  <si>
    <t>2025042509</t>
  </si>
  <si>
    <t>filgrastrim inj</t>
  </si>
  <si>
    <t>AJJ007</t>
  </si>
  <si>
    <t>A680402</t>
  </si>
  <si>
    <t>Oxaliplatin inj.</t>
  </si>
  <si>
    <t>87250234AG</t>
  </si>
  <si>
    <t>Trastuzumab (Herzuma) จ่ายเงิน</t>
  </si>
  <si>
    <t>119C147</t>
  </si>
  <si>
    <t>Methyl prednisolone 1000mg inj</t>
  </si>
  <si>
    <t>1AS24004</t>
  </si>
  <si>
    <t>Calcium folinate inj (Leucoverin)</t>
  </si>
  <si>
    <t>NP25168A</t>
  </si>
  <si>
    <t>Letrozole 2.5 mg สิทธิ์ UC</t>
  </si>
  <si>
    <t>5GJ0359</t>
  </si>
  <si>
    <t>Vitamin B Complex TAB (ยา ED)</t>
  </si>
  <si>
    <t>148196</t>
  </si>
  <si>
    <t>Orange sweet flovour</t>
  </si>
  <si>
    <t>2025071009</t>
  </si>
  <si>
    <t>Methylparaben</t>
  </si>
  <si>
    <t>JG3111</t>
  </si>
  <si>
    <t>87250302AA</t>
  </si>
  <si>
    <t>AJJ011</t>
  </si>
  <si>
    <t xml:space="preserve">Potassium Chloride </t>
  </si>
  <si>
    <t>3424000600</t>
  </si>
  <si>
    <t>Sodium chloride</t>
  </si>
  <si>
    <t>CRS200824</t>
  </si>
  <si>
    <t xml:space="preserve"> 5-Fluorouracil inj.</t>
  </si>
  <si>
    <t>5FL023A</t>
  </si>
  <si>
    <t>Bivasizumab inj สิทธิ์ UC</t>
  </si>
  <si>
    <t>BF24003869</t>
  </si>
  <si>
    <t>Doxorubicin inj.</t>
  </si>
  <si>
    <t>87250383AA</t>
  </si>
  <si>
    <t>Paclitaxel 6mg/ml 50ml (Chemo)</t>
  </si>
  <si>
    <t>87250360AF</t>
  </si>
  <si>
    <t>Pineapple flavour</t>
  </si>
  <si>
    <t>2025092718</t>
  </si>
  <si>
    <t>Tamoxifen citrate 20mg TAB</t>
  </si>
  <si>
    <t>TTMB231052</t>
  </si>
  <si>
    <t>Trastuzumab inj. 440mg (VMI-Chemo)</t>
  </si>
  <si>
    <t>04052052B</t>
  </si>
  <si>
    <t>Gancyclovir 500mg inj</t>
  </si>
  <si>
    <t>141040100</t>
  </si>
  <si>
    <t>AK250771</t>
  </si>
  <si>
    <t>Propylparaben</t>
  </si>
  <si>
    <t>JJ2711</t>
  </si>
  <si>
    <t>BSS 15ml</t>
  </si>
  <si>
    <t>12MJT</t>
  </si>
  <si>
    <t>NP25253A</t>
  </si>
  <si>
    <t>SWI 10ml</t>
  </si>
  <si>
    <t>2T545007</t>
  </si>
  <si>
    <t>Citric acid</t>
  </si>
  <si>
    <t>AA-25010093</t>
  </si>
  <si>
    <t>Glycerin USP</t>
  </si>
  <si>
    <t>289FD100126</t>
  </si>
  <si>
    <t>Cyclophosphamide inj.</t>
  </si>
  <si>
    <t>5B349C</t>
  </si>
  <si>
    <t>Diphenhydramine 50mg tab</t>
  </si>
  <si>
    <t>25B032</t>
  </si>
  <si>
    <t>Peppermint oil</t>
  </si>
  <si>
    <t>2022-0206</t>
  </si>
  <si>
    <t>Diazepam 5mg tab</t>
  </si>
  <si>
    <t>S680025</t>
  </si>
  <si>
    <t>Bivasizumab inj สิทธิ์จ่ายเงิน</t>
  </si>
  <si>
    <t>H7946B02</t>
  </si>
  <si>
    <t>Phenobarbital 60 mg</t>
  </si>
  <si>
    <t>F680318</t>
  </si>
  <si>
    <t>20230426</t>
  </si>
  <si>
    <t>12VW8</t>
  </si>
  <si>
    <t>Chlorhexidine 4% 500ml (Hibi Scrub)</t>
  </si>
  <si>
    <t>25044051</t>
  </si>
  <si>
    <t>Eucalyptus oil</t>
  </si>
  <si>
    <t>C680058</t>
  </si>
  <si>
    <t>Fluconazole inj</t>
  </si>
  <si>
    <t>1115531-1</t>
  </si>
  <si>
    <t>Ethyl alcohol 70% 450ml</t>
  </si>
  <si>
    <t>C680090</t>
  </si>
  <si>
    <t>Acertylcysteine sac</t>
  </si>
  <si>
    <t>6171834</t>
  </si>
  <si>
    <t>242910-0728</t>
  </si>
  <si>
    <t>Metoclopreamide tab</t>
  </si>
  <si>
    <t>1117600-1</t>
  </si>
  <si>
    <t>Propranolol 10mg</t>
  </si>
  <si>
    <t>8219028</t>
  </si>
  <si>
    <t>Dexamethasone 4mg inj</t>
  </si>
  <si>
    <t>968168</t>
  </si>
  <si>
    <t>Sodium bicarbonate</t>
  </si>
  <si>
    <t>20241111</t>
  </si>
  <si>
    <t>25044107</t>
  </si>
  <si>
    <t>Phenytoin 50mg</t>
  </si>
  <si>
    <t>2401015</t>
  </si>
  <si>
    <t>Rifampicin 300mg cap</t>
  </si>
  <si>
    <t>K685117</t>
  </si>
  <si>
    <t>Trichloro Acetic Acid</t>
  </si>
  <si>
    <t>B50174T2405</t>
  </si>
  <si>
    <t>1% Carmosine red</t>
  </si>
  <si>
    <t>RF03240212</t>
  </si>
  <si>
    <t>Propyleneglycol</t>
  </si>
  <si>
    <t>PG20250721</t>
  </si>
  <si>
    <t>Paracetamol 500mg tab</t>
  </si>
  <si>
    <t>25123045</t>
  </si>
  <si>
    <t>Furosemide 40mg TAB</t>
  </si>
  <si>
    <t>1117027-1</t>
  </si>
  <si>
    <t>2401045</t>
  </si>
  <si>
    <t>Oseltamivir 75mg</t>
  </si>
  <si>
    <t>K675349</t>
  </si>
  <si>
    <t>70% Sorbitol</t>
  </si>
  <si>
    <t>S6027</t>
  </si>
  <si>
    <t>Paclitaxel IV Set</t>
  </si>
  <si>
    <t>84516364</t>
  </si>
  <si>
    <t>Ondansetron 8mg TAB (Chemo)</t>
  </si>
  <si>
    <t>1122183-1</t>
  </si>
  <si>
    <t>4A6C103</t>
  </si>
  <si>
    <t>NSS 0.9% 500ml</t>
  </si>
  <si>
    <t>2508236</t>
  </si>
  <si>
    <t>NSS 0.9% 100ml</t>
  </si>
  <si>
    <t>2509110</t>
  </si>
  <si>
    <t>Ondanseton inj.</t>
  </si>
  <si>
    <t>27H097</t>
  </si>
  <si>
    <t>2512171</t>
  </si>
  <si>
    <t>D-5-W 100ml</t>
  </si>
  <si>
    <t>2512271</t>
  </si>
  <si>
    <t>Sterile water for IRRIGATE 1000ml</t>
  </si>
  <si>
    <t>6A74X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</si>
</sst>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3">
    <font>
      <sz val="11.0"/>
      <color theme="1"/>
      <name val="Tahoma"/>
      <scheme val="minor"/>
    </font>
    <font>
      <b/>
      <sz val="11.0"/>
      <color theme="1"/>
      <name val="Tahoma"/>
    </font>
    <font>
      <b/>
      <sz val="11.0"/>
      <color theme="1"/>
      <name val="Cambria"/>
    </font>
    <font>
      <b/>
      <sz val="14.0"/>
      <color theme="1"/>
      <name val="Tahoma"/>
    </font>
    <font>
      <color theme="1"/>
      <name val="Tahoma"/>
      <scheme val="minor"/>
    </font>
    <font>
      <sz val="11.0"/>
      <color theme="1"/>
      <name val="Tahoma"/>
    </font>
    <font>
      <b/>
      <sz val="14.0"/>
      <color theme="1"/>
      <name val="TH Sarabun PSK"/>
    </font>
    <font>
      <b/>
      <sz val="7.0"/>
      <color theme="1"/>
      <name val="Tahoma"/>
    </font>
    <font>
      <b/>
      <sz val="10.0"/>
      <color theme="1"/>
      <name val="Tahoma"/>
    </font>
    <font>
      <sz val="14.0"/>
      <color theme="1"/>
      <name val="TH Sarabun PSK"/>
    </font>
    <font>
      <sz val="14.0"/>
      <color rgb="FF000000"/>
      <name val="TH Sarabun PSK"/>
    </font>
    <font>
      <sz val="14.0"/>
      <color theme="1"/>
      <name val="Tahoma"/>
    </font>
    <font>
      <sz val="11.0"/>
      <color theme="1"/>
      <name val="Angsana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164" xfId="0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shrinkToFit="1" vertical="center" wrapText="0"/>
    </xf>
    <xf borderId="0" fillId="0" fontId="9" numFmtId="2" xfId="0" applyAlignment="1" applyFont="1" applyNumberFormat="1">
      <alignment vertical="center"/>
    </xf>
    <xf borderId="0" fillId="0" fontId="9" numFmtId="4" xfId="0" applyAlignment="1" applyFont="1" applyNumberFormat="1">
      <alignment vertical="center"/>
    </xf>
    <xf borderId="0" fillId="0" fontId="9" numFmtId="0" xfId="0" applyAlignment="1" applyFont="1">
      <alignment horizontal="left" shrinkToFit="1" vertical="center" wrapText="0"/>
    </xf>
    <xf borderId="0" fillId="0" fontId="9" numFmtId="4" xfId="0" applyFont="1" applyNumberFormat="1"/>
    <xf borderId="0" fillId="0" fontId="9" numFmtId="0" xfId="0" applyAlignment="1" applyFont="1">
      <alignment horizontal="left" vertical="center"/>
    </xf>
    <xf borderId="0" fillId="0" fontId="11" numFmtId="0" xfId="0" applyFont="1"/>
    <xf borderId="0" fillId="0" fontId="10" numFmtId="0" xfId="0" applyAlignment="1" applyFont="1">
      <alignment shrinkToFit="1" vertical="center" wrapText="0"/>
    </xf>
    <xf borderId="0" fillId="0" fontId="5" numFmtId="0" xfId="0" applyAlignment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40.0"/>
    <col customWidth="1" min="3" max="3" width="18.0"/>
    <col customWidth="1" min="4" max="4" width="14.0"/>
    <col customWidth="1" min="5" max="5" width="10.0"/>
    <col customWidth="1" min="6" max="6" width="12.0"/>
    <col customWidth="1" min="7" max="8" width="14.0"/>
    <col customWidth="1" min="9" max="9" width="12.0"/>
    <col customWidth="1" min="10" max="10" width="26.38"/>
    <col customWidth="1" min="11" max="11" width="8.63"/>
    <col customWidth="1" min="12" max="12" width="10.88"/>
    <col customWidth="1" min="13" max="28" width="8.63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>
        <f>TODAY()+180</f>
        <v>46281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6.5" customHeight="1">
      <c r="A2" s="5">
        <v>76783.0</v>
      </c>
      <c r="B2" s="5" t="s">
        <v>11</v>
      </c>
      <c r="C2" s="5" t="s">
        <v>12</v>
      </c>
      <c r="D2" s="6">
        <v>46041.0</v>
      </c>
      <c r="E2" s="5">
        <v>0.0</v>
      </c>
      <c r="F2" s="5">
        <v>695.5</v>
      </c>
      <c r="G2" s="5">
        <f t="shared" ref="G2:G95" si="1">E2*F2</f>
        <v>0</v>
      </c>
      <c r="H2" s="5" t="s">
        <v>13</v>
      </c>
      <c r="I2" s="5">
        <f t="shared" ref="I2:I95" si="2">D2-(TODAY())</f>
        <v>-60</v>
      </c>
      <c r="J2" s="7" t="s">
        <v>14</v>
      </c>
    </row>
    <row r="3" ht="16.5" customHeight="1">
      <c r="A3" s="5">
        <v>131171.0</v>
      </c>
      <c r="B3" s="5" t="s">
        <v>15</v>
      </c>
      <c r="C3" s="5" t="s">
        <v>16</v>
      </c>
      <c r="D3" s="6">
        <v>46052.0</v>
      </c>
      <c r="E3" s="5">
        <v>0.0</v>
      </c>
      <c r="G3" s="5">
        <f t="shared" si="1"/>
        <v>0</v>
      </c>
      <c r="H3" s="5" t="s">
        <v>13</v>
      </c>
      <c r="I3" s="5">
        <f t="shared" si="2"/>
        <v>-49</v>
      </c>
      <c r="J3" s="7" t="s">
        <v>14</v>
      </c>
    </row>
    <row r="4" ht="16.5" customHeight="1">
      <c r="A4" s="5">
        <v>81218.0</v>
      </c>
      <c r="B4" s="5" t="s">
        <v>17</v>
      </c>
      <c r="C4" s="5" t="s">
        <v>18</v>
      </c>
      <c r="D4" s="6">
        <v>46085.0</v>
      </c>
      <c r="E4" s="5">
        <v>0.0</v>
      </c>
      <c r="F4" s="5">
        <v>475.0</v>
      </c>
      <c r="G4" s="5">
        <f t="shared" si="1"/>
        <v>0</v>
      </c>
      <c r="H4" s="5" t="s">
        <v>13</v>
      </c>
      <c r="I4" s="5">
        <f t="shared" si="2"/>
        <v>-16</v>
      </c>
      <c r="J4" s="7" t="s">
        <v>14</v>
      </c>
    </row>
    <row r="5" ht="16.5" customHeight="1">
      <c r="A5" s="5">
        <v>92149.0</v>
      </c>
      <c r="B5" s="5" t="s">
        <v>19</v>
      </c>
      <c r="C5" s="5" t="s">
        <v>20</v>
      </c>
      <c r="D5" s="6">
        <v>46126.0</v>
      </c>
      <c r="E5" s="5">
        <v>0.0</v>
      </c>
      <c r="F5" s="5">
        <v>248.0</v>
      </c>
      <c r="G5" s="5">
        <f t="shared" si="1"/>
        <v>0</v>
      </c>
      <c r="H5" s="5" t="s">
        <v>13</v>
      </c>
      <c r="I5" s="5">
        <f t="shared" si="2"/>
        <v>25</v>
      </c>
      <c r="J5" s="7" t="s">
        <v>14</v>
      </c>
    </row>
    <row r="6" ht="16.5" customHeight="1">
      <c r="A6" s="5">
        <v>76806.0</v>
      </c>
      <c r="B6" s="5" t="s">
        <v>21</v>
      </c>
      <c r="C6" s="5" t="s">
        <v>22</v>
      </c>
      <c r="D6" s="6">
        <v>46150.0</v>
      </c>
      <c r="E6" s="5">
        <v>0.0</v>
      </c>
      <c r="F6" s="5">
        <v>588.5</v>
      </c>
      <c r="G6" s="5">
        <f t="shared" si="1"/>
        <v>0</v>
      </c>
      <c r="H6" s="5" t="s">
        <v>13</v>
      </c>
      <c r="I6" s="5">
        <f t="shared" si="2"/>
        <v>49</v>
      </c>
      <c r="J6" s="7" t="s">
        <v>23</v>
      </c>
    </row>
    <row r="7" ht="16.5" customHeight="1">
      <c r="A7" s="5">
        <v>76847.0</v>
      </c>
      <c r="B7" s="5" t="s">
        <v>24</v>
      </c>
      <c r="C7" s="5" t="s">
        <v>25</v>
      </c>
      <c r="D7" s="6">
        <v>46261.0</v>
      </c>
      <c r="E7" s="5">
        <v>1.0</v>
      </c>
      <c r="F7" s="5">
        <v>481.5</v>
      </c>
      <c r="G7" s="5">
        <f t="shared" si="1"/>
        <v>481.5</v>
      </c>
      <c r="H7" s="5" t="s">
        <v>13</v>
      </c>
      <c r="I7" s="5">
        <f t="shared" si="2"/>
        <v>160</v>
      </c>
      <c r="J7" s="5"/>
    </row>
    <row r="8" ht="16.5" customHeight="1">
      <c r="A8" s="5">
        <v>98679.0</v>
      </c>
      <c r="B8" s="5" t="s">
        <v>26</v>
      </c>
      <c r="C8" s="5" t="s">
        <v>27</v>
      </c>
      <c r="D8" s="6">
        <v>46264.0</v>
      </c>
      <c r="E8" s="5">
        <v>390.0</v>
      </c>
      <c r="F8" s="5"/>
      <c r="G8" s="5">
        <f t="shared" si="1"/>
        <v>0</v>
      </c>
      <c r="H8" s="5" t="s">
        <v>28</v>
      </c>
      <c r="I8" s="5">
        <f t="shared" si="2"/>
        <v>163</v>
      </c>
      <c r="J8" s="5"/>
    </row>
    <row r="9" ht="16.5" customHeight="1">
      <c r="A9" s="5">
        <v>60032.0</v>
      </c>
      <c r="B9" s="5" t="s">
        <v>29</v>
      </c>
      <c r="C9" s="5" t="s">
        <v>30</v>
      </c>
      <c r="D9" s="6">
        <v>46296.0</v>
      </c>
      <c r="E9" s="5">
        <v>5.0</v>
      </c>
      <c r="F9" s="5"/>
      <c r="G9" s="5">
        <f t="shared" si="1"/>
        <v>0</v>
      </c>
      <c r="H9" s="5" t="s">
        <v>28</v>
      </c>
      <c r="I9" s="5">
        <f t="shared" si="2"/>
        <v>195</v>
      </c>
      <c r="J9" s="5"/>
    </row>
    <row r="10" ht="16.5" customHeight="1">
      <c r="A10" s="5">
        <v>92344.0</v>
      </c>
      <c r="B10" s="5" t="s">
        <v>31</v>
      </c>
      <c r="C10" s="5" t="s">
        <v>32</v>
      </c>
      <c r="D10" s="6">
        <v>46312.0</v>
      </c>
      <c r="E10" s="5">
        <v>0.0</v>
      </c>
      <c r="F10" s="5">
        <v>610.0</v>
      </c>
      <c r="G10" s="5">
        <f t="shared" si="1"/>
        <v>0</v>
      </c>
      <c r="H10" s="5" t="s">
        <v>13</v>
      </c>
      <c r="I10" s="5">
        <f t="shared" si="2"/>
        <v>211</v>
      </c>
      <c r="J10" s="5"/>
    </row>
    <row r="11" ht="16.5" customHeight="1">
      <c r="A11" s="5">
        <v>77176.0</v>
      </c>
      <c r="B11" s="5" t="s">
        <v>33</v>
      </c>
      <c r="C11" s="5" t="s">
        <v>34</v>
      </c>
      <c r="D11" s="6">
        <v>46326.0</v>
      </c>
      <c r="E11" s="5">
        <v>1.0</v>
      </c>
      <c r="F11" s="5">
        <v>963.0</v>
      </c>
      <c r="G11" s="5">
        <f t="shared" si="1"/>
        <v>963</v>
      </c>
      <c r="H11" s="5" t="s">
        <v>13</v>
      </c>
      <c r="I11" s="5">
        <f t="shared" si="2"/>
        <v>225</v>
      </c>
      <c r="J11" s="5"/>
    </row>
    <row r="12" ht="16.5" customHeight="1">
      <c r="A12" s="5">
        <v>14829.0</v>
      </c>
      <c r="B12" s="5" t="s">
        <v>35</v>
      </c>
      <c r="C12" s="5" t="s">
        <v>36</v>
      </c>
      <c r="D12" s="6">
        <v>46326.0</v>
      </c>
      <c r="E12" s="5">
        <v>6.0</v>
      </c>
      <c r="F12" s="5">
        <v>220.0</v>
      </c>
      <c r="G12" s="5">
        <f t="shared" si="1"/>
        <v>1320</v>
      </c>
      <c r="H12" s="5" t="s">
        <v>28</v>
      </c>
      <c r="I12" s="5">
        <f t="shared" si="2"/>
        <v>225</v>
      </c>
      <c r="J12" s="5"/>
    </row>
    <row r="13" ht="16.5" customHeight="1">
      <c r="A13" s="5">
        <v>77021.0</v>
      </c>
      <c r="B13" s="5" t="s">
        <v>37</v>
      </c>
      <c r="C13" s="5" t="s">
        <v>38</v>
      </c>
      <c r="D13" s="6">
        <v>46341.0</v>
      </c>
      <c r="E13" s="5">
        <v>0.0</v>
      </c>
      <c r="F13" s="5">
        <v>353.1</v>
      </c>
      <c r="G13" s="5">
        <f t="shared" si="1"/>
        <v>0</v>
      </c>
      <c r="H13" s="5" t="s">
        <v>13</v>
      </c>
      <c r="I13" s="5">
        <f t="shared" si="2"/>
        <v>240</v>
      </c>
      <c r="J13" s="5"/>
    </row>
    <row r="14" ht="16.5" customHeight="1">
      <c r="A14" s="5">
        <v>2448.0</v>
      </c>
      <c r="B14" s="5" t="s">
        <v>39</v>
      </c>
      <c r="C14" s="5" t="s">
        <v>40</v>
      </c>
      <c r="D14" s="6">
        <v>46352.0</v>
      </c>
      <c r="E14" s="5">
        <v>0.0</v>
      </c>
      <c r="F14" s="5">
        <v>0.8</v>
      </c>
      <c r="G14" s="5">
        <f t="shared" si="1"/>
        <v>0</v>
      </c>
      <c r="H14" s="5" t="s">
        <v>41</v>
      </c>
      <c r="I14" s="5">
        <f t="shared" si="2"/>
        <v>251</v>
      </c>
      <c r="J14" s="5"/>
    </row>
    <row r="15" ht="16.5" customHeight="1">
      <c r="A15" s="5">
        <v>70068.0</v>
      </c>
      <c r="B15" s="5" t="s">
        <v>42</v>
      </c>
      <c r="C15" s="5" t="s">
        <v>43</v>
      </c>
      <c r="D15" s="6">
        <v>46357.0</v>
      </c>
      <c r="E15" s="5">
        <v>500.0</v>
      </c>
      <c r="F15" s="5">
        <v>1.0</v>
      </c>
      <c r="G15" s="5">
        <f t="shared" si="1"/>
        <v>500</v>
      </c>
      <c r="H15" s="5" t="s">
        <v>28</v>
      </c>
      <c r="I15" s="5">
        <f t="shared" si="2"/>
        <v>256</v>
      </c>
      <c r="J15" s="5"/>
    </row>
    <row r="16" ht="16.5" customHeight="1">
      <c r="A16" s="5">
        <v>81182.0</v>
      </c>
      <c r="B16" s="5" t="s">
        <v>44</v>
      </c>
      <c r="C16" s="5" t="s">
        <v>45</v>
      </c>
      <c r="D16" s="6">
        <v>46377.0</v>
      </c>
      <c r="E16" s="5">
        <v>0.0</v>
      </c>
      <c r="F16" s="5">
        <v>1615.7</v>
      </c>
      <c r="G16" s="5">
        <f t="shared" si="1"/>
        <v>0</v>
      </c>
      <c r="H16" s="5" t="s">
        <v>13</v>
      </c>
      <c r="I16" s="5">
        <f t="shared" si="2"/>
        <v>276</v>
      </c>
      <c r="J16" s="5"/>
    </row>
    <row r="17" ht="16.5" customHeight="1">
      <c r="A17" s="5">
        <v>92407.0</v>
      </c>
      <c r="B17" s="5" t="s">
        <v>46</v>
      </c>
      <c r="C17" s="5" t="s">
        <v>47</v>
      </c>
      <c r="D17" s="6">
        <v>46377.0</v>
      </c>
      <c r="E17" s="5">
        <v>0.0</v>
      </c>
      <c r="F17" s="5">
        <v>180.0</v>
      </c>
      <c r="G17" s="5">
        <f t="shared" si="1"/>
        <v>0</v>
      </c>
      <c r="H17" s="5" t="s">
        <v>13</v>
      </c>
      <c r="I17" s="5">
        <f t="shared" si="2"/>
        <v>276</v>
      </c>
      <c r="J17" s="5"/>
    </row>
    <row r="18" ht="16.5" customHeight="1">
      <c r="A18" s="5">
        <v>60032.0</v>
      </c>
      <c r="B18" s="5" t="s">
        <v>29</v>
      </c>
      <c r="C18" s="5" t="s">
        <v>48</v>
      </c>
      <c r="D18" s="6">
        <v>46388.0</v>
      </c>
      <c r="E18" s="5">
        <v>8.0</v>
      </c>
      <c r="F18" s="5"/>
      <c r="G18" s="5">
        <f t="shared" si="1"/>
        <v>0</v>
      </c>
      <c r="H18" s="5" t="s">
        <v>28</v>
      </c>
      <c r="I18" s="5">
        <f t="shared" si="2"/>
        <v>287</v>
      </c>
      <c r="J18" s="5"/>
    </row>
    <row r="19" ht="16.5" customHeight="1">
      <c r="A19" s="5">
        <v>925.0</v>
      </c>
      <c r="B19" s="5" t="s">
        <v>49</v>
      </c>
      <c r="C19" s="5" t="s">
        <v>50</v>
      </c>
      <c r="D19" s="6">
        <v>46402.0</v>
      </c>
      <c r="E19" s="5">
        <v>1000.0</v>
      </c>
      <c r="F19" s="5">
        <v>0.2</v>
      </c>
      <c r="G19" s="5">
        <f t="shared" si="1"/>
        <v>200</v>
      </c>
      <c r="H19" s="5" t="s">
        <v>41</v>
      </c>
      <c r="I19" s="5">
        <f t="shared" si="2"/>
        <v>301</v>
      </c>
      <c r="J19" s="5"/>
    </row>
    <row r="20" ht="16.5" customHeight="1">
      <c r="A20" s="5">
        <v>3950.0</v>
      </c>
      <c r="B20" s="5" t="s">
        <v>51</v>
      </c>
      <c r="C20" s="5" t="s">
        <v>52</v>
      </c>
      <c r="D20" s="6">
        <v>46407.0</v>
      </c>
      <c r="E20" s="5">
        <v>0.0</v>
      </c>
      <c r="F20" s="5">
        <v>0.52</v>
      </c>
      <c r="G20" s="5">
        <f t="shared" si="1"/>
        <v>0</v>
      </c>
      <c r="H20" s="5" t="s">
        <v>41</v>
      </c>
      <c r="I20" s="5">
        <f t="shared" si="2"/>
        <v>306</v>
      </c>
      <c r="J20" s="5"/>
    </row>
    <row r="21" ht="16.5" customHeight="1">
      <c r="A21" s="5">
        <v>77195.0</v>
      </c>
      <c r="B21" s="5" t="s">
        <v>53</v>
      </c>
      <c r="C21" s="5" t="s">
        <v>54</v>
      </c>
      <c r="D21" s="6">
        <v>46418.0</v>
      </c>
      <c r="E21" s="5">
        <v>1.0</v>
      </c>
      <c r="F21" s="5">
        <v>385.2</v>
      </c>
      <c r="G21" s="5">
        <f t="shared" si="1"/>
        <v>385.2</v>
      </c>
      <c r="H21" s="5" t="s">
        <v>13</v>
      </c>
      <c r="I21" s="5">
        <f t="shared" si="2"/>
        <v>317</v>
      </c>
      <c r="J21" s="5"/>
    </row>
    <row r="22" ht="16.5" customHeight="1">
      <c r="A22" s="5">
        <v>77153.0</v>
      </c>
      <c r="B22" s="5" t="s">
        <v>55</v>
      </c>
      <c r="C22" s="5" t="s">
        <v>56</v>
      </c>
      <c r="D22" s="6">
        <v>46441.0</v>
      </c>
      <c r="E22" s="5">
        <v>1.0</v>
      </c>
      <c r="F22" s="5">
        <v>374.5</v>
      </c>
      <c r="G22" s="5">
        <f t="shared" si="1"/>
        <v>374.5</v>
      </c>
      <c r="H22" s="5" t="s">
        <v>13</v>
      </c>
      <c r="I22" s="5">
        <f t="shared" si="2"/>
        <v>340</v>
      </c>
      <c r="J22" s="5"/>
    </row>
    <row r="23" ht="16.5" customHeight="1">
      <c r="A23" s="5">
        <v>91128.0</v>
      </c>
      <c r="B23" s="5" t="s">
        <v>57</v>
      </c>
      <c r="C23" s="5" t="s">
        <v>58</v>
      </c>
      <c r="D23" s="6">
        <v>46445.0</v>
      </c>
      <c r="E23" s="5">
        <v>0.0</v>
      </c>
      <c r="G23" s="5">
        <f t="shared" si="1"/>
        <v>0</v>
      </c>
      <c r="H23" s="5" t="s">
        <v>41</v>
      </c>
      <c r="I23" s="5">
        <f t="shared" si="2"/>
        <v>344</v>
      </c>
      <c r="J23" s="5"/>
    </row>
    <row r="24" ht="16.5" customHeight="1">
      <c r="A24" s="5">
        <v>76765.0</v>
      </c>
      <c r="B24" s="5" t="s">
        <v>59</v>
      </c>
      <c r="C24" s="5" t="s">
        <v>60</v>
      </c>
      <c r="D24" s="6">
        <v>46477.0</v>
      </c>
      <c r="E24" s="5">
        <v>0.0</v>
      </c>
      <c r="F24" s="5">
        <v>2568.0</v>
      </c>
      <c r="G24" s="5">
        <f t="shared" si="1"/>
        <v>0</v>
      </c>
      <c r="H24" s="5" t="s">
        <v>13</v>
      </c>
      <c r="I24" s="5">
        <f t="shared" si="2"/>
        <v>376</v>
      </c>
      <c r="J24" s="5"/>
    </row>
    <row r="25" ht="16.5" customHeight="1">
      <c r="A25" s="5">
        <v>76796.0</v>
      </c>
      <c r="B25" s="5" t="s">
        <v>61</v>
      </c>
      <c r="C25" s="5" t="s">
        <v>62</v>
      </c>
      <c r="D25" s="6">
        <v>46495.0</v>
      </c>
      <c r="E25" s="5">
        <v>0.0</v>
      </c>
      <c r="F25" s="5">
        <v>160.5</v>
      </c>
      <c r="G25" s="5">
        <f t="shared" si="1"/>
        <v>0</v>
      </c>
      <c r="H25" s="5" t="s">
        <v>13</v>
      </c>
      <c r="I25" s="5">
        <f t="shared" si="2"/>
        <v>394</v>
      </c>
      <c r="J25" s="5"/>
    </row>
    <row r="26" ht="16.5" customHeight="1">
      <c r="A26" s="5">
        <v>70.0</v>
      </c>
      <c r="B26" s="5" t="s">
        <v>63</v>
      </c>
      <c r="C26" s="5" t="s">
        <v>64</v>
      </c>
      <c r="D26" s="6">
        <v>46499.0</v>
      </c>
      <c r="E26" s="5">
        <v>1000.0</v>
      </c>
      <c r="F26" s="5"/>
      <c r="G26" s="5">
        <f t="shared" si="1"/>
        <v>0</v>
      </c>
      <c r="H26" s="5" t="s">
        <v>28</v>
      </c>
      <c r="I26" s="5">
        <f t="shared" si="2"/>
        <v>398</v>
      </c>
      <c r="J26" s="5"/>
    </row>
    <row r="27" ht="16.5" customHeight="1">
      <c r="A27" s="5">
        <v>92371.0</v>
      </c>
      <c r="B27" s="5" t="s">
        <v>65</v>
      </c>
      <c r="C27" s="5" t="s">
        <v>66</v>
      </c>
      <c r="D27" s="6">
        <v>46501.0</v>
      </c>
      <c r="E27" s="5">
        <v>1.0</v>
      </c>
      <c r="F27" s="5">
        <v>565.0</v>
      </c>
      <c r="G27" s="5">
        <f t="shared" si="1"/>
        <v>565</v>
      </c>
      <c r="H27" s="5" t="s">
        <v>13</v>
      </c>
      <c r="I27" s="5">
        <f t="shared" si="2"/>
        <v>400</v>
      </c>
      <c r="J27" s="5"/>
    </row>
    <row r="28" ht="16.5" customHeight="1">
      <c r="A28" s="5">
        <v>33073.0</v>
      </c>
      <c r="B28" s="5" t="s">
        <v>67</v>
      </c>
      <c r="C28" s="5" t="s">
        <v>68</v>
      </c>
      <c r="D28" s="6">
        <v>46502.0</v>
      </c>
      <c r="E28" s="5">
        <v>12.0</v>
      </c>
      <c r="F28" s="5">
        <v>379.85</v>
      </c>
      <c r="G28" s="5">
        <f t="shared" si="1"/>
        <v>4558.2</v>
      </c>
      <c r="H28" s="5" t="s">
        <v>28</v>
      </c>
      <c r="I28" s="5">
        <f t="shared" si="2"/>
        <v>401</v>
      </c>
      <c r="J28" s="5"/>
    </row>
    <row r="29" ht="16.5" customHeight="1">
      <c r="A29" s="5">
        <v>70.0</v>
      </c>
      <c r="B29" s="5" t="s">
        <v>63</v>
      </c>
      <c r="C29" s="5" t="s">
        <v>69</v>
      </c>
      <c r="D29" s="6">
        <v>46535.0</v>
      </c>
      <c r="E29" s="5">
        <v>2000.0</v>
      </c>
      <c r="F29" s="5"/>
      <c r="G29" s="5">
        <f t="shared" si="1"/>
        <v>0</v>
      </c>
      <c r="H29" s="5" t="s">
        <v>28</v>
      </c>
      <c r="I29" s="5">
        <f t="shared" si="2"/>
        <v>434</v>
      </c>
      <c r="J29" s="5"/>
    </row>
    <row r="30" ht="16.5" customHeight="1">
      <c r="A30" s="5">
        <v>65332.0</v>
      </c>
      <c r="B30" s="5" t="s">
        <v>70</v>
      </c>
      <c r="C30" s="5" t="s">
        <v>71</v>
      </c>
      <c r="D30" s="6">
        <v>46538.0</v>
      </c>
      <c r="E30" s="5">
        <v>1.0</v>
      </c>
      <c r="F30" s="5">
        <v>941.6</v>
      </c>
      <c r="G30" s="5">
        <f t="shared" si="1"/>
        <v>941.6</v>
      </c>
      <c r="H30" s="5" t="s">
        <v>28</v>
      </c>
      <c r="I30" s="5">
        <f t="shared" si="2"/>
        <v>437</v>
      </c>
      <c r="J30" s="5"/>
    </row>
    <row r="31" ht="16.5" customHeight="1">
      <c r="A31" s="5">
        <v>74574.0</v>
      </c>
      <c r="B31" s="5" t="s">
        <v>72</v>
      </c>
      <c r="C31" s="5" t="s">
        <v>73</v>
      </c>
      <c r="D31" s="6">
        <v>46538.0</v>
      </c>
      <c r="E31" s="5">
        <v>0.0</v>
      </c>
      <c r="F31" s="5">
        <v>8560.0</v>
      </c>
      <c r="G31" s="5">
        <f t="shared" si="1"/>
        <v>0</v>
      </c>
      <c r="H31" s="5" t="s">
        <v>28</v>
      </c>
      <c r="I31" s="5">
        <f t="shared" si="2"/>
        <v>437</v>
      </c>
      <c r="J31" s="5"/>
    </row>
    <row r="32" ht="16.5" customHeight="1">
      <c r="A32" s="5">
        <v>57459.0</v>
      </c>
      <c r="B32" s="5" t="s">
        <v>74</v>
      </c>
      <c r="C32" s="5" t="s">
        <v>75</v>
      </c>
      <c r="D32" s="6">
        <v>46568.0</v>
      </c>
      <c r="E32" s="5">
        <v>10.0</v>
      </c>
      <c r="F32" s="5"/>
      <c r="G32" s="5">
        <f t="shared" si="1"/>
        <v>0</v>
      </c>
      <c r="H32" s="5" t="s">
        <v>41</v>
      </c>
      <c r="I32" s="5">
        <f t="shared" si="2"/>
        <v>467</v>
      </c>
      <c r="J32" s="5"/>
    </row>
    <row r="33" ht="16.5" customHeight="1">
      <c r="A33" s="5">
        <v>58180.0</v>
      </c>
      <c r="B33" s="5" t="s">
        <v>76</v>
      </c>
      <c r="C33" s="5" t="s">
        <v>77</v>
      </c>
      <c r="D33" s="6">
        <v>46568.0</v>
      </c>
      <c r="E33" s="5">
        <v>2.0</v>
      </c>
      <c r="F33" s="5">
        <v>256.0</v>
      </c>
      <c r="G33" s="5">
        <f t="shared" si="1"/>
        <v>512</v>
      </c>
      <c r="H33" s="5" t="s">
        <v>28</v>
      </c>
      <c r="I33" s="5">
        <f t="shared" si="2"/>
        <v>467</v>
      </c>
      <c r="J33" s="5"/>
    </row>
    <row r="34" ht="16.5" customHeight="1">
      <c r="A34" s="5">
        <v>59707.0</v>
      </c>
      <c r="B34" s="5" t="s">
        <v>78</v>
      </c>
      <c r="C34" s="5" t="s">
        <v>79</v>
      </c>
      <c r="D34" s="6">
        <v>46568.0</v>
      </c>
      <c r="E34" s="5">
        <v>270.0</v>
      </c>
      <c r="F34" s="5">
        <v>15.8717</v>
      </c>
      <c r="G34" s="5">
        <f t="shared" si="1"/>
        <v>4285.359</v>
      </c>
      <c r="H34" s="5" t="s">
        <v>28</v>
      </c>
      <c r="I34" s="5">
        <f t="shared" si="2"/>
        <v>467</v>
      </c>
      <c r="J34" s="5"/>
    </row>
    <row r="35" ht="16.5" customHeight="1">
      <c r="A35" s="5">
        <v>129325.0</v>
      </c>
      <c r="B35" s="5" t="s">
        <v>80</v>
      </c>
      <c r="C35" s="5" t="s">
        <v>81</v>
      </c>
      <c r="D35" s="6">
        <v>46568.0</v>
      </c>
      <c r="E35" s="5">
        <v>1000.0</v>
      </c>
      <c r="F35" s="5"/>
      <c r="G35" s="5">
        <f t="shared" si="1"/>
        <v>0</v>
      </c>
      <c r="H35" s="5" t="s">
        <v>28</v>
      </c>
      <c r="I35" s="5">
        <f t="shared" si="2"/>
        <v>467</v>
      </c>
      <c r="J35" s="5"/>
    </row>
    <row r="36" ht="16.5" customHeight="1">
      <c r="A36" s="5">
        <v>81256.0</v>
      </c>
      <c r="B36" s="5" t="s">
        <v>82</v>
      </c>
      <c r="C36" s="5" t="s">
        <v>83</v>
      </c>
      <c r="D36" s="6">
        <v>46577.0</v>
      </c>
      <c r="E36" s="5">
        <v>1.0</v>
      </c>
      <c r="F36" s="5">
        <v>601.34</v>
      </c>
      <c r="G36" s="5">
        <f t="shared" si="1"/>
        <v>601.34</v>
      </c>
      <c r="H36" s="5" t="s">
        <v>13</v>
      </c>
      <c r="I36" s="5">
        <f t="shared" si="2"/>
        <v>476</v>
      </c>
      <c r="J36" s="5"/>
    </row>
    <row r="37" ht="16.5" customHeight="1">
      <c r="A37" s="5">
        <v>77045.0</v>
      </c>
      <c r="B37" s="5" t="s">
        <v>84</v>
      </c>
      <c r="C37" s="5" t="s">
        <v>85</v>
      </c>
      <c r="D37" s="6">
        <v>46598.0</v>
      </c>
      <c r="E37" s="5">
        <v>0.0</v>
      </c>
      <c r="F37" s="5">
        <v>275.0</v>
      </c>
      <c r="G37" s="5">
        <f t="shared" si="1"/>
        <v>0</v>
      </c>
      <c r="H37" s="5" t="s">
        <v>13</v>
      </c>
      <c r="I37" s="5">
        <f t="shared" si="2"/>
        <v>497</v>
      </c>
      <c r="J37" s="5"/>
    </row>
    <row r="38" ht="16.5" customHeight="1">
      <c r="A38" s="5">
        <v>65332.0</v>
      </c>
      <c r="B38" s="5" t="s">
        <v>70</v>
      </c>
      <c r="C38" s="5" t="s">
        <v>86</v>
      </c>
      <c r="D38" s="6">
        <v>46599.0</v>
      </c>
      <c r="E38" s="5">
        <v>3.0</v>
      </c>
      <c r="F38" s="5">
        <v>941.6</v>
      </c>
      <c r="G38" s="5">
        <f t="shared" si="1"/>
        <v>2824.8</v>
      </c>
      <c r="H38" s="5" t="s">
        <v>28</v>
      </c>
      <c r="I38" s="5">
        <f t="shared" si="2"/>
        <v>498</v>
      </c>
      <c r="J38" s="5"/>
    </row>
    <row r="39" ht="16.5" customHeight="1">
      <c r="A39" s="5">
        <v>33073.0</v>
      </c>
      <c r="B39" s="5" t="s">
        <v>67</v>
      </c>
      <c r="C39" s="5" t="s">
        <v>87</v>
      </c>
      <c r="D39" s="6">
        <v>46604.0</v>
      </c>
      <c r="E39" s="5">
        <v>10.0</v>
      </c>
      <c r="F39" s="5">
        <v>379.85</v>
      </c>
      <c r="G39" s="5">
        <f t="shared" si="1"/>
        <v>3798.5</v>
      </c>
      <c r="H39" s="5" t="s">
        <v>28</v>
      </c>
      <c r="I39" s="5">
        <f t="shared" si="2"/>
        <v>503</v>
      </c>
      <c r="J39" s="5"/>
    </row>
    <row r="40" ht="16.5" customHeight="1">
      <c r="A40" s="5">
        <v>92196.0</v>
      </c>
      <c r="B40" s="5" t="s">
        <v>88</v>
      </c>
      <c r="C40" s="5" t="s">
        <v>89</v>
      </c>
      <c r="D40" s="6">
        <v>46618.0</v>
      </c>
      <c r="E40" s="5">
        <v>16.0</v>
      </c>
      <c r="F40" s="5">
        <v>86.0</v>
      </c>
      <c r="G40" s="5">
        <f t="shared" si="1"/>
        <v>1376</v>
      </c>
      <c r="H40" s="5" t="s">
        <v>13</v>
      </c>
      <c r="I40" s="5">
        <f t="shared" si="2"/>
        <v>517</v>
      </c>
      <c r="J40" s="5"/>
    </row>
    <row r="41" ht="16.5" customHeight="1">
      <c r="A41" s="5">
        <v>76913.0</v>
      </c>
      <c r="B41" s="5" t="s">
        <v>90</v>
      </c>
      <c r="C41" s="5" t="s">
        <v>91</v>
      </c>
      <c r="D41" s="6">
        <v>46619.0</v>
      </c>
      <c r="E41" s="5">
        <v>7.0</v>
      </c>
      <c r="F41" s="5">
        <v>64.2</v>
      </c>
      <c r="G41" s="5">
        <f t="shared" si="1"/>
        <v>449.4</v>
      </c>
      <c r="H41" s="5" t="s">
        <v>13</v>
      </c>
      <c r="I41" s="5">
        <f t="shared" si="2"/>
        <v>518</v>
      </c>
      <c r="J41" s="5"/>
    </row>
    <row r="42" ht="16.5" customHeight="1">
      <c r="A42" s="5">
        <v>58373.0</v>
      </c>
      <c r="B42" s="5" t="s">
        <v>92</v>
      </c>
      <c r="C42" s="5" t="s">
        <v>93</v>
      </c>
      <c r="D42" s="6">
        <v>46630.0</v>
      </c>
      <c r="E42" s="5">
        <v>29.0</v>
      </c>
      <c r="F42" s="5">
        <v>146.59</v>
      </c>
      <c r="G42" s="5">
        <f t="shared" si="1"/>
        <v>4251.11</v>
      </c>
      <c r="H42" s="5" t="s">
        <v>28</v>
      </c>
      <c r="I42" s="5">
        <f t="shared" si="2"/>
        <v>529</v>
      </c>
      <c r="J42" s="5"/>
    </row>
    <row r="43" ht="16.5" customHeight="1">
      <c r="A43" s="5">
        <v>75404.0</v>
      </c>
      <c r="B43" s="5" t="s">
        <v>94</v>
      </c>
      <c r="C43" s="5" t="s">
        <v>95</v>
      </c>
      <c r="D43" s="6">
        <v>46630.0</v>
      </c>
      <c r="E43" s="5">
        <v>1.0</v>
      </c>
      <c r="F43" s="5">
        <v>1952.51</v>
      </c>
      <c r="G43" s="5">
        <f t="shared" si="1"/>
        <v>1952.51</v>
      </c>
      <c r="H43" s="5" t="s">
        <v>28</v>
      </c>
      <c r="I43" s="5">
        <f t="shared" si="2"/>
        <v>529</v>
      </c>
      <c r="J43" s="5"/>
    </row>
    <row r="44" ht="16.5" customHeight="1">
      <c r="A44" s="5">
        <v>58409.0</v>
      </c>
      <c r="B44" s="5" t="s">
        <v>96</v>
      </c>
      <c r="C44" s="5" t="s">
        <v>97</v>
      </c>
      <c r="D44" s="6">
        <v>46630.0</v>
      </c>
      <c r="E44" s="5">
        <v>10.0</v>
      </c>
      <c r="F44" s="5">
        <v>267.5</v>
      </c>
      <c r="G44" s="5">
        <f t="shared" si="1"/>
        <v>2675</v>
      </c>
      <c r="H44" s="5" t="s">
        <v>28</v>
      </c>
      <c r="I44" s="5">
        <f t="shared" si="2"/>
        <v>529</v>
      </c>
      <c r="J44" s="5"/>
    </row>
    <row r="45" ht="16.5" customHeight="1">
      <c r="A45" s="5">
        <v>58292.0</v>
      </c>
      <c r="B45" s="5" t="s">
        <v>98</v>
      </c>
      <c r="C45" s="5" t="s">
        <v>99</v>
      </c>
      <c r="D45" s="6">
        <v>46630.0</v>
      </c>
      <c r="E45" s="5">
        <v>5.0</v>
      </c>
      <c r="F45" s="5"/>
      <c r="G45" s="5">
        <f t="shared" si="1"/>
        <v>0</v>
      </c>
      <c r="H45" s="5" t="s">
        <v>28</v>
      </c>
      <c r="I45" s="5">
        <f t="shared" si="2"/>
        <v>529</v>
      </c>
      <c r="J45" s="5"/>
    </row>
    <row r="46" ht="16.5" customHeight="1">
      <c r="A46" s="5">
        <v>81315.0</v>
      </c>
      <c r="B46" s="5" t="s">
        <v>100</v>
      </c>
      <c r="C46" s="5" t="s">
        <v>101</v>
      </c>
      <c r="D46" s="6">
        <v>46656.0</v>
      </c>
      <c r="E46" s="5">
        <v>3.0</v>
      </c>
      <c r="F46" s="5">
        <v>579.0</v>
      </c>
      <c r="G46" s="5">
        <f t="shared" si="1"/>
        <v>1737</v>
      </c>
      <c r="H46" s="5" t="s">
        <v>13</v>
      </c>
      <c r="I46" s="5">
        <f t="shared" si="2"/>
        <v>555</v>
      </c>
      <c r="J46" s="5"/>
    </row>
    <row r="47" ht="16.5" customHeight="1">
      <c r="A47" s="5">
        <v>109607.0</v>
      </c>
      <c r="B47" s="5" t="s">
        <v>102</v>
      </c>
      <c r="C47" s="5" t="s">
        <v>103</v>
      </c>
      <c r="D47" s="6">
        <v>46660.0</v>
      </c>
      <c r="E47" s="5">
        <v>200.0</v>
      </c>
      <c r="F47" s="5"/>
      <c r="G47" s="5">
        <f t="shared" si="1"/>
        <v>0</v>
      </c>
      <c r="H47" s="5" t="s">
        <v>28</v>
      </c>
      <c r="I47" s="5">
        <f t="shared" si="2"/>
        <v>559</v>
      </c>
      <c r="J47" s="5"/>
    </row>
    <row r="48" ht="16.5" customHeight="1">
      <c r="A48" s="5">
        <v>62750.0</v>
      </c>
      <c r="B48" s="5" t="s">
        <v>104</v>
      </c>
      <c r="C48" s="5" t="s">
        <v>105</v>
      </c>
      <c r="D48" s="6">
        <v>46660.0</v>
      </c>
      <c r="E48" s="5">
        <v>1.0</v>
      </c>
      <c r="F48" s="5"/>
      <c r="G48" s="5">
        <f t="shared" si="1"/>
        <v>0</v>
      </c>
      <c r="H48" s="5" t="s">
        <v>28</v>
      </c>
      <c r="I48" s="5">
        <f t="shared" si="2"/>
        <v>559</v>
      </c>
      <c r="J48" s="5"/>
    </row>
    <row r="49" ht="16.5" customHeight="1">
      <c r="A49" s="5">
        <v>102780.0</v>
      </c>
      <c r="B49" s="5" t="s">
        <v>106</v>
      </c>
      <c r="C49" s="5" t="s">
        <v>107</v>
      </c>
      <c r="D49" s="6">
        <v>46666.0</v>
      </c>
      <c r="E49" s="5">
        <v>6.0</v>
      </c>
      <c r="F49" s="5"/>
      <c r="G49" s="5">
        <f t="shared" si="1"/>
        <v>0</v>
      </c>
      <c r="H49" s="5" t="s">
        <v>28</v>
      </c>
      <c r="I49" s="5">
        <f t="shared" si="2"/>
        <v>565</v>
      </c>
      <c r="J49" s="5"/>
    </row>
    <row r="50" ht="16.5" customHeight="1">
      <c r="A50" s="5">
        <v>129325.0</v>
      </c>
      <c r="B50" s="5" t="s">
        <v>80</v>
      </c>
      <c r="C50" s="5" t="s">
        <v>108</v>
      </c>
      <c r="D50" s="6">
        <v>46685.0</v>
      </c>
      <c r="E50" s="5">
        <v>2000.0</v>
      </c>
      <c r="F50" s="5"/>
      <c r="G50" s="5">
        <f t="shared" si="1"/>
        <v>0</v>
      </c>
      <c r="H50" s="5" t="s">
        <v>28</v>
      </c>
      <c r="I50" s="5">
        <f t="shared" si="2"/>
        <v>584</v>
      </c>
      <c r="J50" s="5"/>
    </row>
    <row r="51" ht="16.5" customHeight="1">
      <c r="A51" s="5">
        <v>77066.0</v>
      </c>
      <c r="B51" s="5" t="s">
        <v>109</v>
      </c>
      <c r="C51" s="5" t="s">
        <v>110</v>
      </c>
      <c r="D51" s="6">
        <v>46686.0</v>
      </c>
      <c r="E51" s="5">
        <v>1.0</v>
      </c>
      <c r="F51" s="5">
        <v>428.0</v>
      </c>
      <c r="G51" s="5">
        <f t="shared" si="1"/>
        <v>428</v>
      </c>
      <c r="H51" s="5" t="s">
        <v>13</v>
      </c>
      <c r="I51" s="5">
        <f t="shared" si="2"/>
        <v>585</v>
      </c>
      <c r="J51" s="5"/>
    </row>
    <row r="52" ht="16.5" customHeight="1">
      <c r="A52" s="5">
        <v>4197.0</v>
      </c>
      <c r="B52" s="5" t="s">
        <v>111</v>
      </c>
      <c r="C52" s="5" t="s">
        <v>112</v>
      </c>
      <c r="D52" s="6">
        <v>46691.0</v>
      </c>
      <c r="E52" s="5">
        <v>36.0</v>
      </c>
      <c r="F52" s="5"/>
      <c r="G52" s="5">
        <f t="shared" si="1"/>
        <v>0</v>
      </c>
      <c r="H52" s="5" t="s">
        <v>41</v>
      </c>
      <c r="I52" s="5">
        <f t="shared" si="2"/>
        <v>590</v>
      </c>
      <c r="J52" s="5"/>
    </row>
    <row r="53" ht="16.5" customHeight="1">
      <c r="A53" s="5">
        <v>58180.0</v>
      </c>
      <c r="B53" s="5" t="s">
        <v>76</v>
      </c>
      <c r="C53" s="5" t="s">
        <v>113</v>
      </c>
      <c r="D53" s="6">
        <v>46691.0</v>
      </c>
      <c r="E53" s="5">
        <v>10.0</v>
      </c>
      <c r="F53" s="5">
        <v>256.0</v>
      </c>
      <c r="G53" s="5">
        <f t="shared" si="1"/>
        <v>2560</v>
      </c>
      <c r="H53" s="5" t="s">
        <v>28</v>
      </c>
      <c r="I53" s="5">
        <f t="shared" si="2"/>
        <v>590</v>
      </c>
      <c r="J53" s="5"/>
    </row>
    <row r="54" ht="16.5" customHeight="1">
      <c r="A54" s="5">
        <v>215.0</v>
      </c>
      <c r="B54" s="5" t="s">
        <v>114</v>
      </c>
      <c r="C54" s="5" t="s">
        <v>115</v>
      </c>
      <c r="D54" s="6">
        <v>46752.0</v>
      </c>
      <c r="E54" s="5">
        <v>0.0</v>
      </c>
      <c r="G54" s="5">
        <f t="shared" si="1"/>
        <v>0</v>
      </c>
      <c r="H54" s="5" t="s">
        <v>28</v>
      </c>
      <c r="I54" s="5">
        <f t="shared" si="2"/>
        <v>651</v>
      </c>
      <c r="J54" s="5"/>
    </row>
    <row r="55" ht="16.5" customHeight="1">
      <c r="A55" s="5">
        <v>77130.0</v>
      </c>
      <c r="B55" s="5" t="s">
        <v>116</v>
      </c>
      <c r="C55" s="5" t="s">
        <v>117</v>
      </c>
      <c r="D55" s="6">
        <v>46765.0</v>
      </c>
      <c r="E55" s="5">
        <v>7.0</v>
      </c>
      <c r="F55" s="5">
        <v>139.1</v>
      </c>
      <c r="G55" s="5">
        <f t="shared" si="1"/>
        <v>973.7</v>
      </c>
      <c r="H55" s="5" t="s">
        <v>13</v>
      </c>
      <c r="I55" s="5">
        <f t="shared" si="2"/>
        <v>664</v>
      </c>
      <c r="J55" s="5"/>
    </row>
    <row r="56" ht="16.5" customHeight="1">
      <c r="A56" s="5">
        <v>77107.0</v>
      </c>
      <c r="B56" s="5" t="s">
        <v>118</v>
      </c>
      <c r="C56" s="5" t="s">
        <v>119</v>
      </c>
      <c r="D56" s="6">
        <v>46771.0</v>
      </c>
      <c r="E56" s="5">
        <v>5.0</v>
      </c>
      <c r="F56" s="5">
        <v>642.0</v>
      </c>
      <c r="G56" s="5">
        <f t="shared" si="1"/>
        <v>3210</v>
      </c>
      <c r="H56" s="5" t="s">
        <v>13</v>
      </c>
      <c r="I56" s="5">
        <f t="shared" si="2"/>
        <v>670</v>
      </c>
      <c r="J56" s="5"/>
    </row>
    <row r="57" ht="16.5" customHeight="1">
      <c r="A57" s="5">
        <v>58575.0</v>
      </c>
      <c r="B57" s="5" t="s">
        <v>120</v>
      </c>
      <c r="C57" s="5" t="s">
        <v>121</v>
      </c>
      <c r="D57" s="6">
        <v>46783.0</v>
      </c>
      <c r="E57" s="5">
        <v>14.0</v>
      </c>
      <c r="F57" s="5">
        <v>422.65</v>
      </c>
      <c r="G57" s="5">
        <f t="shared" si="1"/>
        <v>5917.1</v>
      </c>
      <c r="H57" s="5" t="s">
        <v>28</v>
      </c>
      <c r="I57" s="5">
        <f t="shared" si="2"/>
        <v>682</v>
      </c>
      <c r="J57" s="5"/>
    </row>
    <row r="58" ht="16.5" customHeight="1">
      <c r="A58" s="5">
        <v>69739.0</v>
      </c>
      <c r="B58" s="5" t="s">
        <v>122</v>
      </c>
      <c r="C58" s="5" t="s">
        <v>123</v>
      </c>
      <c r="D58" s="6">
        <v>46789.0</v>
      </c>
      <c r="E58" s="5">
        <v>80.0</v>
      </c>
      <c r="F58" s="5"/>
      <c r="G58" s="5">
        <f t="shared" si="1"/>
        <v>0</v>
      </c>
      <c r="H58" s="5" t="s">
        <v>28</v>
      </c>
      <c r="I58" s="5">
        <f t="shared" si="2"/>
        <v>688</v>
      </c>
      <c r="J58" s="5"/>
    </row>
    <row r="59" ht="16.5" customHeight="1">
      <c r="A59" s="5">
        <v>76984.0</v>
      </c>
      <c r="B59" s="5" t="s">
        <v>124</v>
      </c>
      <c r="C59" s="5" t="s">
        <v>125</v>
      </c>
      <c r="D59" s="6">
        <v>46798.0</v>
      </c>
      <c r="E59" s="5">
        <v>0.0</v>
      </c>
      <c r="F59" s="5">
        <v>856.0</v>
      </c>
      <c r="G59" s="5">
        <f t="shared" si="1"/>
        <v>0</v>
      </c>
      <c r="H59" s="5" t="s">
        <v>13</v>
      </c>
      <c r="I59" s="5">
        <f t="shared" si="2"/>
        <v>697</v>
      </c>
      <c r="J59" s="5"/>
    </row>
    <row r="60" ht="16.5" customHeight="1">
      <c r="A60" s="5">
        <v>5122.0</v>
      </c>
      <c r="B60" s="5" t="s">
        <v>126</v>
      </c>
      <c r="C60" s="5" t="s">
        <v>127</v>
      </c>
      <c r="D60" s="6">
        <v>46815.0</v>
      </c>
      <c r="E60" s="5">
        <v>0.0</v>
      </c>
      <c r="F60" s="5">
        <v>0.2461</v>
      </c>
      <c r="G60" s="5">
        <f t="shared" si="1"/>
        <v>0</v>
      </c>
      <c r="H60" s="5" t="s">
        <v>41</v>
      </c>
      <c r="I60" s="5">
        <f t="shared" si="2"/>
        <v>714</v>
      </c>
      <c r="J60" s="5"/>
    </row>
    <row r="61" ht="16.5" customHeight="1">
      <c r="A61" s="5">
        <v>74590.0</v>
      </c>
      <c r="B61" s="5" t="s">
        <v>128</v>
      </c>
      <c r="C61" s="5" t="s">
        <v>129</v>
      </c>
      <c r="D61" s="6">
        <v>46843.0</v>
      </c>
      <c r="E61" s="5">
        <v>1.0</v>
      </c>
      <c r="F61" s="5">
        <v>7003.15</v>
      </c>
      <c r="G61" s="5">
        <f t="shared" si="1"/>
        <v>7003.15</v>
      </c>
      <c r="H61" s="5" t="s">
        <v>28</v>
      </c>
      <c r="I61" s="5">
        <f t="shared" si="2"/>
        <v>742</v>
      </c>
      <c r="J61" s="5"/>
    </row>
    <row r="62" ht="16.5" customHeight="1">
      <c r="A62" s="5">
        <v>9914.0</v>
      </c>
      <c r="B62" s="5" t="s">
        <v>130</v>
      </c>
      <c r="C62" s="5" t="s">
        <v>131</v>
      </c>
      <c r="D62" s="6">
        <v>46861.0</v>
      </c>
      <c r="E62" s="5">
        <v>1000.0</v>
      </c>
      <c r="F62" s="5">
        <v>0.2782</v>
      </c>
      <c r="G62" s="5">
        <f t="shared" si="1"/>
        <v>278.2</v>
      </c>
      <c r="H62" s="5" t="s">
        <v>41</v>
      </c>
      <c r="I62" s="5">
        <f t="shared" si="2"/>
        <v>760</v>
      </c>
      <c r="J62" s="5"/>
    </row>
    <row r="63" ht="16.5" customHeight="1">
      <c r="A63" s="5">
        <v>77045.0</v>
      </c>
      <c r="B63" s="5" t="s">
        <v>84</v>
      </c>
      <c r="C63" s="5" t="s">
        <v>132</v>
      </c>
      <c r="D63" s="6">
        <v>46869.0</v>
      </c>
      <c r="E63" s="5">
        <v>0.0</v>
      </c>
      <c r="F63" s="5">
        <v>374.5</v>
      </c>
      <c r="G63" s="5">
        <f t="shared" si="1"/>
        <v>0</v>
      </c>
      <c r="H63" s="5" t="s">
        <v>13</v>
      </c>
      <c r="I63" s="5">
        <f t="shared" si="2"/>
        <v>768</v>
      </c>
      <c r="J63" s="5"/>
    </row>
    <row r="64" ht="16.5" customHeight="1">
      <c r="A64" s="5">
        <v>4197.0</v>
      </c>
      <c r="B64" s="5" t="s">
        <v>111</v>
      </c>
      <c r="C64" s="5" t="s">
        <v>133</v>
      </c>
      <c r="D64" s="6">
        <v>46873.0</v>
      </c>
      <c r="E64" s="5">
        <v>12.0</v>
      </c>
      <c r="F64" s="5"/>
      <c r="G64" s="5">
        <f t="shared" si="1"/>
        <v>0</v>
      </c>
      <c r="H64" s="5" t="s">
        <v>41</v>
      </c>
      <c r="I64" s="5">
        <f t="shared" si="2"/>
        <v>772</v>
      </c>
      <c r="J64" s="5"/>
    </row>
    <row r="65" ht="16.5" customHeight="1">
      <c r="A65" s="5">
        <v>129114.0</v>
      </c>
      <c r="B65" s="5" t="s">
        <v>134</v>
      </c>
      <c r="C65" s="5" t="s">
        <v>135</v>
      </c>
      <c r="D65" s="6">
        <v>46881.0</v>
      </c>
      <c r="E65" s="5">
        <v>1.0</v>
      </c>
      <c r="F65" s="5"/>
      <c r="G65" s="5">
        <f t="shared" si="1"/>
        <v>0</v>
      </c>
      <c r="H65" s="5" t="s">
        <v>28</v>
      </c>
      <c r="I65" s="5">
        <f t="shared" si="2"/>
        <v>780</v>
      </c>
      <c r="J65" s="5"/>
    </row>
    <row r="66" ht="16.5" customHeight="1">
      <c r="A66" s="5">
        <v>77009.0</v>
      </c>
      <c r="B66" s="5" t="s">
        <v>136</v>
      </c>
      <c r="C66" s="5" t="s">
        <v>137</v>
      </c>
      <c r="D66" s="6">
        <v>46895.0</v>
      </c>
      <c r="E66" s="5">
        <v>0.0</v>
      </c>
      <c r="F66" s="5">
        <v>600.0</v>
      </c>
      <c r="G66" s="5">
        <f t="shared" si="1"/>
        <v>0</v>
      </c>
      <c r="H66" s="5" t="s">
        <v>13</v>
      </c>
      <c r="I66" s="5">
        <f t="shared" si="2"/>
        <v>794</v>
      </c>
      <c r="J66" s="5"/>
    </row>
    <row r="67" ht="16.5" customHeight="1">
      <c r="A67" s="5">
        <v>98520.0</v>
      </c>
      <c r="B67" s="5" t="s">
        <v>138</v>
      </c>
      <c r="C67" s="5" t="s">
        <v>139</v>
      </c>
      <c r="D67" s="6">
        <v>46921.0</v>
      </c>
      <c r="E67" s="5">
        <v>3.0</v>
      </c>
      <c r="F67" s="5"/>
      <c r="G67" s="5">
        <f t="shared" si="1"/>
        <v>0</v>
      </c>
      <c r="H67" s="5" t="s">
        <v>41</v>
      </c>
      <c r="I67" s="5">
        <f t="shared" si="2"/>
        <v>820</v>
      </c>
      <c r="J67" s="5"/>
    </row>
    <row r="68" ht="16.5" customHeight="1">
      <c r="A68" s="5">
        <v>5259.0</v>
      </c>
      <c r="B68" s="5" t="s">
        <v>140</v>
      </c>
      <c r="C68" s="5" t="s">
        <v>141</v>
      </c>
      <c r="D68" s="6">
        <v>46929.0</v>
      </c>
      <c r="E68" s="5">
        <v>27.0</v>
      </c>
      <c r="F68" s="5"/>
      <c r="G68" s="5">
        <f t="shared" si="1"/>
        <v>0</v>
      </c>
      <c r="H68" s="5" t="s">
        <v>41</v>
      </c>
      <c r="I68" s="5">
        <f t="shared" si="2"/>
        <v>828</v>
      </c>
      <c r="J68" s="5"/>
    </row>
    <row r="69" ht="16.5" customHeight="1">
      <c r="A69" s="5">
        <v>10088.0</v>
      </c>
      <c r="B69" s="5" t="s">
        <v>142</v>
      </c>
      <c r="C69" s="5" t="s">
        <v>143</v>
      </c>
      <c r="D69" s="6">
        <v>46950.0</v>
      </c>
      <c r="E69" s="5">
        <v>60.0</v>
      </c>
      <c r="F69" s="5"/>
      <c r="G69" s="5">
        <f t="shared" si="1"/>
        <v>0</v>
      </c>
      <c r="H69" s="5" t="s">
        <v>28</v>
      </c>
      <c r="I69" s="5">
        <f t="shared" si="2"/>
        <v>849</v>
      </c>
      <c r="J69" s="5"/>
    </row>
    <row r="70" ht="16.5" customHeight="1">
      <c r="A70" s="5">
        <v>77195.0</v>
      </c>
      <c r="B70" s="5" t="s">
        <v>53</v>
      </c>
      <c r="C70" s="5" t="s">
        <v>144</v>
      </c>
      <c r="D70" s="6">
        <v>46965.0</v>
      </c>
      <c r="E70" s="5">
        <v>1.0</v>
      </c>
      <c r="F70" s="5">
        <v>385.2</v>
      </c>
      <c r="G70" s="5">
        <f t="shared" si="1"/>
        <v>385.2</v>
      </c>
      <c r="H70" s="5" t="s">
        <v>13</v>
      </c>
      <c r="I70" s="5">
        <f t="shared" si="2"/>
        <v>864</v>
      </c>
      <c r="J70" s="5"/>
    </row>
    <row r="71" ht="16.5" customHeight="1">
      <c r="A71" s="5">
        <v>3913.0</v>
      </c>
      <c r="B71" s="5" t="s">
        <v>145</v>
      </c>
      <c r="C71" s="5" t="s">
        <v>146</v>
      </c>
      <c r="D71" s="6">
        <v>46985.0</v>
      </c>
      <c r="E71" s="5">
        <v>500.0</v>
      </c>
      <c r="G71" s="5">
        <f t="shared" si="1"/>
        <v>0</v>
      </c>
      <c r="H71" s="5" t="s">
        <v>28</v>
      </c>
      <c r="I71" s="5">
        <f t="shared" si="2"/>
        <v>884</v>
      </c>
      <c r="J71" s="5"/>
    </row>
    <row r="72" ht="16.5" customHeight="1">
      <c r="A72" s="5">
        <v>2407.0</v>
      </c>
      <c r="B72" s="5" t="s">
        <v>147</v>
      </c>
      <c r="C72" s="5" t="s">
        <v>148</v>
      </c>
      <c r="D72" s="6">
        <v>46986.0</v>
      </c>
      <c r="E72" s="5">
        <v>1000.0</v>
      </c>
      <c r="F72" s="5">
        <v>0.22</v>
      </c>
      <c r="G72" s="5">
        <f t="shared" si="1"/>
        <v>220</v>
      </c>
      <c r="H72" s="5" t="s">
        <v>41</v>
      </c>
      <c r="I72" s="5">
        <f t="shared" si="2"/>
        <v>885</v>
      </c>
      <c r="J72" s="5"/>
    </row>
    <row r="73" ht="16.5" customHeight="1">
      <c r="A73" s="5">
        <v>4598.0</v>
      </c>
      <c r="B73" s="5" t="s">
        <v>149</v>
      </c>
      <c r="C73" s="5" t="s">
        <v>150</v>
      </c>
      <c r="D73" s="6">
        <v>47043.0</v>
      </c>
      <c r="E73" s="5">
        <v>90.0</v>
      </c>
      <c r="F73" s="5">
        <v>3.8</v>
      </c>
      <c r="G73" s="5">
        <f t="shared" si="1"/>
        <v>342</v>
      </c>
      <c r="H73" s="5" t="s">
        <v>28</v>
      </c>
      <c r="I73" s="5">
        <f t="shared" si="2"/>
        <v>942</v>
      </c>
      <c r="J73" s="5"/>
    </row>
    <row r="74" ht="16.5" customHeight="1">
      <c r="A74" s="5">
        <v>81287.0</v>
      </c>
      <c r="B74" s="5" t="s">
        <v>151</v>
      </c>
      <c r="C74" s="5" t="s">
        <v>152</v>
      </c>
      <c r="D74" s="6">
        <v>47068.0</v>
      </c>
      <c r="E74" s="5">
        <v>1.0</v>
      </c>
      <c r="F74" s="5">
        <v>38.0</v>
      </c>
      <c r="G74" s="5">
        <f t="shared" si="1"/>
        <v>38</v>
      </c>
      <c r="H74" s="5" t="s">
        <v>13</v>
      </c>
      <c r="I74" s="5">
        <f t="shared" si="2"/>
        <v>967</v>
      </c>
      <c r="J74" s="5"/>
    </row>
    <row r="75" ht="16.5" customHeight="1">
      <c r="A75" s="5">
        <v>129114.0</v>
      </c>
      <c r="B75" s="5" t="s">
        <v>134</v>
      </c>
      <c r="C75" s="5" t="s">
        <v>153</v>
      </c>
      <c r="D75" s="6">
        <v>47069.0</v>
      </c>
      <c r="E75" s="5">
        <v>2.0</v>
      </c>
      <c r="F75" s="5"/>
      <c r="G75" s="5">
        <f t="shared" si="1"/>
        <v>0</v>
      </c>
      <c r="H75" s="5" t="s">
        <v>28</v>
      </c>
      <c r="I75" s="5">
        <f t="shared" si="2"/>
        <v>968</v>
      </c>
      <c r="J75" s="5"/>
    </row>
    <row r="76" ht="16.5" customHeight="1">
      <c r="A76" s="5">
        <v>9967.0</v>
      </c>
      <c r="B76" s="5" t="s">
        <v>154</v>
      </c>
      <c r="C76" s="5" t="s">
        <v>155</v>
      </c>
      <c r="D76" s="6">
        <v>47195.0</v>
      </c>
      <c r="E76" s="5">
        <v>250.0</v>
      </c>
      <c r="F76" s="5">
        <v>2.5894</v>
      </c>
      <c r="G76" s="5">
        <f t="shared" si="1"/>
        <v>647.35</v>
      </c>
      <c r="H76" s="5" t="s">
        <v>41</v>
      </c>
      <c r="I76" s="5">
        <f t="shared" si="2"/>
        <v>1094</v>
      </c>
      <c r="J76" s="5"/>
    </row>
    <row r="77" ht="16.5" customHeight="1">
      <c r="A77" s="5">
        <v>103292.0</v>
      </c>
      <c r="B77" s="5" t="s">
        <v>156</v>
      </c>
      <c r="C77" s="5" t="s">
        <v>157</v>
      </c>
      <c r="D77" s="6">
        <v>47233.0</v>
      </c>
      <c r="E77" s="5">
        <v>100.0</v>
      </c>
      <c r="F77" s="5"/>
      <c r="G77" s="5">
        <f t="shared" si="1"/>
        <v>0</v>
      </c>
      <c r="H77" s="5" t="s">
        <v>41</v>
      </c>
      <c r="I77" s="5">
        <f t="shared" si="2"/>
        <v>1132</v>
      </c>
      <c r="J77" s="5"/>
    </row>
    <row r="78" ht="16.5" customHeight="1">
      <c r="A78" s="5">
        <v>92274.0</v>
      </c>
      <c r="B78" s="5" t="s">
        <v>158</v>
      </c>
      <c r="C78" s="5" t="s">
        <v>159</v>
      </c>
      <c r="D78" s="6">
        <v>47238.0</v>
      </c>
      <c r="E78" s="5">
        <v>1.0</v>
      </c>
      <c r="F78" s="5">
        <v>2325.0</v>
      </c>
      <c r="G78" s="5">
        <f t="shared" si="1"/>
        <v>2325</v>
      </c>
      <c r="H78" s="5" t="s">
        <v>13</v>
      </c>
      <c r="I78" s="5">
        <f t="shared" si="2"/>
        <v>1137</v>
      </c>
      <c r="J78" s="5"/>
    </row>
    <row r="79" ht="16.5" customHeight="1">
      <c r="A79" s="5">
        <v>76932.0</v>
      </c>
      <c r="B79" s="5" t="s">
        <v>160</v>
      </c>
      <c r="C79" s="5" t="s">
        <v>161</v>
      </c>
      <c r="D79" s="6">
        <v>47253.0</v>
      </c>
      <c r="E79" s="5">
        <v>0.0</v>
      </c>
      <c r="F79" s="5">
        <v>1016.5</v>
      </c>
      <c r="G79" s="5">
        <f t="shared" si="1"/>
        <v>0</v>
      </c>
      <c r="H79" s="5" t="s">
        <v>13</v>
      </c>
      <c r="I79" s="5">
        <f t="shared" si="2"/>
        <v>1152</v>
      </c>
      <c r="J79" s="5"/>
    </row>
    <row r="80" ht="16.5" customHeight="1">
      <c r="A80" s="5">
        <v>77084.0</v>
      </c>
      <c r="B80" s="5" t="s">
        <v>162</v>
      </c>
      <c r="C80" s="5" t="s">
        <v>163</v>
      </c>
      <c r="D80" s="6">
        <v>47320.0</v>
      </c>
      <c r="E80" s="5">
        <v>1.0</v>
      </c>
      <c r="F80" s="5">
        <v>963.0</v>
      </c>
      <c r="G80" s="5">
        <f t="shared" si="1"/>
        <v>963</v>
      </c>
      <c r="H80" s="5" t="s">
        <v>13</v>
      </c>
      <c r="I80" s="5">
        <f t="shared" si="2"/>
        <v>1219</v>
      </c>
      <c r="J80" s="5"/>
    </row>
    <row r="81" ht="16.5" customHeight="1">
      <c r="A81" s="5">
        <v>9807.0</v>
      </c>
      <c r="B81" s="5" t="s">
        <v>164</v>
      </c>
      <c r="C81" s="5" t="s">
        <v>165</v>
      </c>
      <c r="D81" s="6">
        <v>47327.0</v>
      </c>
      <c r="E81" s="5">
        <v>0.0</v>
      </c>
      <c r="G81" s="5">
        <f t="shared" si="1"/>
        <v>0</v>
      </c>
      <c r="H81" s="5" t="s">
        <v>28</v>
      </c>
      <c r="I81" s="5">
        <f t="shared" si="2"/>
        <v>1226</v>
      </c>
      <c r="J81" s="5"/>
    </row>
    <row r="82" ht="16.5" customHeight="1">
      <c r="A82" s="5">
        <v>1493.0</v>
      </c>
      <c r="B82" s="5" t="s">
        <v>166</v>
      </c>
      <c r="C82" s="5" t="s">
        <v>167</v>
      </c>
      <c r="D82" s="6">
        <v>47334.0</v>
      </c>
      <c r="E82" s="5">
        <v>1000.0</v>
      </c>
      <c r="F82" s="5"/>
      <c r="G82" s="5">
        <f t="shared" si="1"/>
        <v>0</v>
      </c>
      <c r="H82" s="5" t="s">
        <v>41</v>
      </c>
      <c r="I82" s="5">
        <f t="shared" si="2"/>
        <v>1233</v>
      </c>
      <c r="J82" s="5"/>
    </row>
    <row r="83" ht="16.5" customHeight="1">
      <c r="A83" s="5">
        <v>9967.0</v>
      </c>
      <c r="B83" s="5" t="s">
        <v>154</v>
      </c>
      <c r="C83" s="5" t="s">
        <v>168</v>
      </c>
      <c r="D83" s="6">
        <v>47359.0</v>
      </c>
      <c r="E83" s="5">
        <v>750.0</v>
      </c>
      <c r="F83" s="5">
        <v>2.5894</v>
      </c>
      <c r="G83" s="5">
        <f t="shared" si="1"/>
        <v>1942.05</v>
      </c>
      <c r="H83" s="5" t="s">
        <v>41</v>
      </c>
      <c r="I83" s="5">
        <f t="shared" si="2"/>
        <v>1258</v>
      </c>
      <c r="J83" s="5"/>
    </row>
    <row r="84" ht="16.5" customHeight="1">
      <c r="A84" s="5">
        <v>1116.0</v>
      </c>
      <c r="B84" s="5" t="s">
        <v>169</v>
      </c>
      <c r="C84" s="5" t="s">
        <v>170</v>
      </c>
      <c r="D84" s="6">
        <v>47399.0</v>
      </c>
      <c r="E84" s="5">
        <v>500.0</v>
      </c>
      <c r="F84" s="5">
        <v>25.0</v>
      </c>
      <c r="G84" s="5">
        <f t="shared" si="1"/>
        <v>12500</v>
      </c>
      <c r="H84" s="5" t="s">
        <v>41</v>
      </c>
      <c r="I84" s="5">
        <f t="shared" si="2"/>
        <v>1298</v>
      </c>
      <c r="J84" s="5"/>
    </row>
    <row r="85" ht="16.5" customHeight="1">
      <c r="A85" s="5">
        <v>77111.0</v>
      </c>
      <c r="B85" s="5" t="s">
        <v>171</v>
      </c>
      <c r="C85" s="5" t="s">
        <v>172</v>
      </c>
      <c r="D85" s="6">
        <v>47437.0</v>
      </c>
      <c r="E85" s="5">
        <v>1.0</v>
      </c>
      <c r="F85" s="5"/>
      <c r="G85" s="5">
        <f t="shared" si="1"/>
        <v>0</v>
      </c>
      <c r="H85" s="5" t="s">
        <v>13</v>
      </c>
      <c r="I85" s="5">
        <f t="shared" si="2"/>
        <v>1336</v>
      </c>
      <c r="J85" s="5"/>
    </row>
    <row r="86" ht="16.5" customHeight="1">
      <c r="A86" s="5">
        <v>7111.0</v>
      </c>
      <c r="B86" s="5" t="s">
        <v>171</v>
      </c>
      <c r="C86" s="5" t="s">
        <v>172</v>
      </c>
      <c r="D86" s="6">
        <v>47437.0</v>
      </c>
      <c r="E86" s="5">
        <v>1.0</v>
      </c>
      <c r="F86" s="5">
        <v>428.0</v>
      </c>
      <c r="G86" s="5">
        <f t="shared" si="1"/>
        <v>428</v>
      </c>
      <c r="H86" s="5" t="s">
        <v>13</v>
      </c>
      <c r="I86" s="5">
        <f t="shared" si="2"/>
        <v>1336</v>
      </c>
      <c r="J86" s="5"/>
    </row>
    <row r="87" ht="16.5" customHeight="1">
      <c r="A87" s="5">
        <v>58341.0</v>
      </c>
      <c r="B87" s="5" t="s">
        <v>173</v>
      </c>
      <c r="C87" s="5" t="s">
        <v>174</v>
      </c>
      <c r="D87" s="6">
        <v>47472.0</v>
      </c>
      <c r="E87" s="5">
        <v>0.0</v>
      </c>
      <c r="F87" s="5">
        <v>567.1</v>
      </c>
      <c r="G87" s="5">
        <f t="shared" si="1"/>
        <v>0</v>
      </c>
      <c r="H87" s="5" t="s">
        <v>28</v>
      </c>
      <c r="I87" s="5">
        <f t="shared" si="2"/>
        <v>1371</v>
      </c>
      <c r="J87" s="5"/>
    </row>
    <row r="88" ht="16.5" customHeight="1">
      <c r="A88" s="5">
        <v>58244.0</v>
      </c>
      <c r="B88" s="5" t="s">
        <v>175</v>
      </c>
      <c r="C88" s="5" t="s">
        <v>176</v>
      </c>
      <c r="D88" s="6">
        <v>47511.0</v>
      </c>
      <c r="E88" s="5">
        <v>300.0</v>
      </c>
      <c r="F88" s="5"/>
      <c r="G88" s="5">
        <f t="shared" si="1"/>
        <v>0</v>
      </c>
      <c r="H88" s="5" t="s">
        <v>28</v>
      </c>
      <c r="I88" s="5">
        <f t="shared" si="2"/>
        <v>1410</v>
      </c>
      <c r="J88" s="5"/>
    </row>
    <row r="89" ht="16.5" customHeight="1">
      <c r="A89" s="5">
        <v>62750.0</v>
      </c>
      <c r="B89" s="5" t="s">
        <v>104</v>
      </c>
      <c r="C89" s="5" t="s">
        <v>177</v>
      </c>
      <c r="D89" s="6">
        <v>47566.0</v>
      </c>
      <c r="E89" s="5">
        <v>2.0</v>
      </c>
      <c r="F89" s="5"/>
      <c r="G89" s="5">
        <f t="shared" si="1"/>
        <v>0</v>
      </c>
      <c r="H89" s="5" t="s">
        <v>28</v>
      </c>
      <c r="I89" s="5">
        <f t="shared" si="2"/>
        <v>1465</v>
      </c>
      <c r="J89" s="5"/>
    </row>
    <row r="90" ht="16.5" customHeight="1">
      <c r="A90" s="5">
        <v>150.0</v>
      </c>
      <c r="B90" s="5" t="s">
        <v>178</v>
      </c>
      <c r="C90" s="5" t="s">
        <v>179</v>
      </c>
      <c r="D90" s="6">
        <v>47714.0</v>
      </c>
      <c r="E90" s="5">
        <v>0.0</v>
      </c>
      <c r="G90" s="5">
        <f t="shared" si="1"/>
        <v>0</v>
      </c>
      <c r="H90" s="5" t="s">
        <v>28</v>
      </c>
      <c r="I90" s="5">
        <f t="shared" si="2"/>
        <v>1613</v>
      </c>
      <c r="J90" s="5"/>
    </row>
    <row r="91" ht="16.5" customHeight="1">
      <c r="A91" s="5">
        <v>7091.0</v>
      </c>
      <c r="B91" s="5" t="s">
        <v>180</v>
      </c>
      <c r="C91" s="5" t="s">
        <v>181</v>
      </c>
      <c r="D91" s="6">
        <v>47735.0</v>
      </c>
      <c r="E91" s="5">
        <v>0.0</v>
      </c>
      <c r="G91" s="5">
        <f t="shared" si="1"/>
        <v>0</v>
      </c>
      <c r="H91" s="5" t="s">
        <v>28</v>
      </c>
      <c r="I91" s="5">
        <f t="shared" si="2"/>
        <v>1634</v>
      </c>
      <c r="J91" s="5"/>
    </row>
    <row r="92" ht="16.5" customHeight="1">
      <c r="A92" s="5">
        <v>9797.0</v>
      </c>
      <c r="B92" s="5" t="s">
        <v>182</v>
      </c>
      <c r="C92" s="5" t="s">
        <v>183</v>
      </c>
      <c r="D92" s="6">
        <v>47756.0</v>
      </c>
      <c r="E92" s="5">
        <v>60.0</v>
      </c>
      <c r="F92" s="5">
        <v>10.7</v>
      </c>
      <c r="G92" s="5">
        <f t="shared" si="1"/>
        <v>642</v>
      </c>
      <c r="H92" s="5" t="s">
        <v>28</v>
      </c>
      <c r="I92" s="5">
        <f t="shared" si="2"/>
        <v>1655</v>
      </c>
      <c r="J92" s="5"/>
    </row>
    <row r="93" ht="16.5" customHeight="1">
      <c r="A93" s="5">
        <v>145.0</v>
      </c>
      <c r="B93" s="5" t="s">
        <v>180</v>
      </c>
      <c r="C93" s="5" t="s">
        <v>184</v>
      </c>
      <c r="D93" s="6">
        <v>47832.0</v>
      </c>
      <c r="E93" s="5">
        <v>40.0</v>
      </c>
      <c r="F93" s="5"/>
      <c r="G93" s="5">
        <f t="shared" si="1"/>
        <v>0</v>
      </c>
      <c r="H93" s="5" t="s">
        <v>28</v>
      </c>
      <c r="I93" s="5">
        <f t="shared" si="2"/>
        <v>1731</v>
      </c>
      <c r="J93" s="5"/>
    </row>
    <row r="94" ht="16.5" customHeight="1">
      <c r="A94" s="5">
        <v>1866.0</v>
      </c>
      <c r="B94" s="5" t="s">
        <v>185</v>
      </c>
      <c r="C94" s="5" t="s">
        <v>186</v>
      </c>
      <c r="D94" s="6">
        <v>47840.0</v>
      </c>
      <c r="E94" s="5">
        <v>86.0</v>
      </c>
      <c r="F94" s="5"/>
      <c r="G94" s="5">
        <f t="shared" si="1"/>
        <v>0</v>
      </c>
      <c r="H94" s="5" t="s">
        <v>28</v>
      </c>
      <c r="I94" s="5">
        <f t="shared" si="2"/>
        <v>1739</v>
      </c>
      <c r="J94" s="5"/>
    </row>
    <row r="95" ht="16.5" customHeight="1">
      <c r="A95" s="5">
        <v>204.0</v>
      </c>
      <c r="B95" s="5" t="s">
        <v>187</v>
      </c>
      <c r="C95" s="5" t="s">
        <v>188</v>
      </c>
      <c r="D95" s="6">
        <v>47853.0</v>
      </c>
      <c r="E95" s="5">
        <v>20.0</v>
      </c>
      <c r="F95" s="5"/>
      <c r="G95" s="5">
        <f t="shared" si="1"/>
        <v>0</v>
      </c>
      <c r="H95" s="5" t="s">
        <v>41</v>
      </c>
      <c r="I95" s="5">
        <f t="shared" si="2"/>
        <v>1752</v>
      </c>
      <c r="J95" s="5"/>
    </row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J2:J95">
      <formula1>"รอคืน/แลกเปลี่ยนกับบริษัท,นำออกจากShelf แล้ว,นำไปให้หน่วยงานอื่นช่วยใช้แล้ว"</formula1>
    </dataValidation>
    <dataValidation type="custom" allowBlank="1" showDropDown="1" sqref="D6:D9 D11:D12 D15 D18:D19 D21:D22 D26:D30 D32:D35 D38:D53 D55:D58 D61:D62 D64:D65 D67:D70 D72:D78 D80 D82:D85 D88:D89 D92:D95">
      <formula1>OR(NOT(ISERROR(DATEVALUE(D6))), AND(ISNUMBER(D6), LEFT(CELL("format", D6))="D"))</formula1>
    </dataValidation>
    <dataValidation type="custom" allowBlank="1" showDropDown="1" sqref="A6:A9 E6:G9 A11:A12 E11:G12 A15 E15:G15 A18:A19 E18:G19 A21:A22 E21:G22 A26:A30 E26:G30 A32:A35 E32:G35 A38:A53 E38:G53 A55:A58 E55:G58 A61:A62 E61:G62 A64:A65 E64:G65 A67:A70 E67:G70 A72:A78 E72:G78 A80 E80:G80 A82:A85 E82:G85 A88:A89 E88:G89 A92:A95 E92:G95">
      <formula1>AND(ISNUMBER(A6),(NOT(OR(NOT(ISERROR(DATEVALUE(A6))), AND(ISNUMBER(A6), LEFT(CELL("format", A6))="D")))))</formula1>
    </dataValidation>
    <dataValidation type="list" allowBlank="1" showErrorMessage="1" sqref="H6:H9 H11:H12 H15 H18:H19 H21:H22 H26:H30 H32:H35 H38:H53 H55:H58 H61:H62 H64:H65 H67:H70 H72:H78 H80 H82:H85 H88:H89 H92:H95">
      <formula1>"สาร,ยางานเคมี,ยางานผลิต"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37.63"/>
    <col customWidth="1" min="3" max="3" width="17.38"/>
    <col customWidth="1" min="4" max="4" width="8.63"/>
    <col customWidth="1" min="5" max="5" width="10.88"/>
    <col customWidth="1" min="6" max="21" width="8.63"/>
  </cols>
  <sheetData>
    <row r="1" ht="16.5" customHeight="1">
      <c r="A1" s="8" t="s">
        <v>0</v>
      </c>
      <c r="B1" s="8" t="s">
        <v>1</v>
      </c>
      <c r="C1" s="8" t="s">
        <v>5</v>
      </c>
      <c r="D1" s="9"/>
      <c r="E1" s="10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6.5" customHeight="1">
      <c r="A2" s="11">
        <v>76932.0</v>
      </c>
      <c r="B2" s="12" t="s">
        <v>160</v>
      </c>
      <c r="C2" s="13">
        <v>1016.5</v>
      </c>
    </row>
    <row r="3" ht="16.5" customHeight="1">
      <c r="A3" s="11">
        <v>58373.0</v>
      </c>
      <c r="B3" s="14" t="s">
        <v>92</v>
      </c>
      <c r="C3" s="13">
        <v>146.59</v>
      </c>
    </row>
    <row r="4" ht="16.5" customHeight="1">
      <c r="A4" s="11">
        <v>7111.0</v>
      </c>
      <c r="B4" s="12" t="s">
        <v>171</v>
      </c>
      <c r="C4" s="13">
        <v>428.0</v>
      </c>
    </row>
    <row r="5" ht="16.5" customHeight="1">
      <c r="A5" s="11">
        <v>76806.0</v>
      </c>
      <c r="B5" s="12" t="s">
        <v>21</v>
      </c>
      <c r="C5" s="13">
        <v>588.5</v>
      </c>
    </row>
    <row r="6" ht="16.5" customHeight="1">
      <c r="A6" s="11">
        <v>92407.0</v>
      </c>
      <c r="B6" s="15" t="s">
        <v>46</v>
      </c>
      <c r="C6" s="13">
        <v>180.0</v>
      </c>
    </row>
    <row r="7" ht="16.5" customHeight="1">
      <c r="A7" s="11">
        <v>81182.0</v>
      </c>
      <c r="B7" s="15" t="s">
        <v>44</v>
      </c>
      <c r="C7" s="13">
        <v>1615.7</v>
      </c>
    </row>
    <row r="8" ht="16.5" customHeight="1">
      <c r="A8" s="11">
        <v>74590.0</v>
      </c>
      <c r="B8" s="14" t="s">
        <v>128</v>
      </c>
      <c r="C8" s="13">
        <v>7003.15</v>
      </c>
    </row>
    <row r="9" ht="16.5" customHeight="1">
      <c r="A9" s="11">
        <v>75404.0</v>
      </c>
      <c r="B9" s="14" t="s">
        <v>94</v>
      </c>
      <c r="C9" s="13">
        <v>1952.51</v>
      </c>
    </row>
    <row r="10" ht="16.5" customHeight="1">
      <c r="A10" s="11">
        <v>77195.0</v>
      </c>
      <c r="B10" s="15" t="s">
        <v>53</v>
      </c>
      <c r="C10" s="13">
        <v>385.2</v>
      </c>
    </row>
    <row r="11" ht="16.5" customHeight="1">
      <c r="A11" s="11">
        <v>58180.0</v>
      </c>
      <c r="B11" s="14" t="s">
        <v>76</v>
      </c>
      <c r="C11" s="13">
        <v>256.0</v>
      </c>
    </row>
    <row r="12" ht="16.5" customHeight="1">
      <c r="A12" s="11">
        <v>92149.0</v>
      </c>
      <c r="B12" s="15" t="s">
        <v>19</v>
      </c>
      <c r="C12" s="13">
        <v>248.0</v>
      </c>
    </row>
    <row r="13" ht="16.5" customHeight="1">
      <c r="A13" s="11">
        <v>76765.0</v>
      </c>
      <c r="B13" s="12" t="s">
        <v>59</v>
      </c>
      <c r="C13" s="13">
        <v>2568.0</v>
      </c>
    </row>
    <row r="14" ht="16.5" customHeight="1">
      <c r="A14" s="11">
        <v>77130.0</v>
      </c>
      <c r="B14" s="12" t="s">
        <v>116</v>
      </c>
      <c r="C14" s="13">
        <v>139.1</v>
      </c>
    </row>
    <row r="15" ht="16.5" customHeight="1">
      <c r="A15" s="11">
        <v>77021.0</v>
      </c>
      <c r="B15" s="15" t="s">
        <v>37</v>
      </c>
      <c r="C15" s="13">
        <v>353.1</v>
      </c>
    </row>
    <row r="16" ht="16.5" customHeight="1">
      <c r="A16" s="11">
        <v>58575.0</v>
      </c>
      <c r="B16" s="14" t="s">
        <v>120</v>
      </c>
      <c r="C16" s="13">
        <v>422.65</v>
      </c>
    </row>
    <row r="17" ht="16.5" customHeight="1">
      <c r="A17" s="11">
        <v>4598.0</v>
      </c>
      <c r="B17" s="16" t="s">
        <v>149</v>
      </c>
      <c r="C17" s="13">
        <v>3.8</v>
      </c>
    </row>
    <row r="18" ht="16.5" customHeight="1">
      <c r="A18" s="11">
        <v>5122.0</v>
      </c>
      <c r="B18" s="17" t="s">
        <v>126</v>
      </c>
      <c r="C18" s="13">
        <v>0.2461</v>
      </c>
    </row>
    <row r="19" ht="16.5" customHeight="1">
      <c r="A19" s="11">
        <v>77176.0</v>
      </c>
      <c r="B19" s="12" t="s">
        <v>33</v>
      </c>
      <c r="C19" s="13">
        <v>963.0</v>
      </c>
    </row>
    <row r="20" ht="16.5" customHeight="1">
      <c r="A20" s="11">
        <v>69739.0</v>
      </c>
      <c r="B20" s="16" t="s">
        <v>122</v>
      </c>
      <c r="C20" s="13"/>
    </row>
    <row r="21" ht="16.5" customHeight="1">
      <c r="A21" s="11">
        <v>58409.0</v>
      </c>
      <c r="B21" s="14" t="s">
        <v>96</v>
      </c>
      <c r="C21" s="13">
        <v>267.5</v>
      </c>
    </row>
    <row r="22" ht="16.5" customHeight="1">
      <c r="A22" s="11">
        <v>77009.0</v>
      </c>
      <c r="B22" s="15" t="s">
        <v>136</v>
      </c>
      <c r="C22" s="13">
        <v>600.0</v>
      </c>
    </row>
    <row r="23" ht="16.5" customHeight="1">
      <c r="A23" s="11">
        <v>70068.0</v>
      </c>
      <c r="B23" s="14" t="s">
        <v>42</v>
      </c>
      <c r="C23" s="13">
        <v>1.0</v>
      </c>
    </row>
    <row r="24" ht="16.5" customHeight="1">
      <c r="A24" s="11">
        <v>33073.0</v>
      </c>
      <c r="B24" s="14" t="s">
        <v>67</v>
      </c>
      <c r="C24" s="13">
        <v>379.85</v>
      </c>
    </row>
    <row r="25" ht="16.5" customHeight="1">
      <c r="A25" s="11">
        <v>98520.0</v>
      </c>
      <c r="B25" s="12" t="s">
        <v>138</v>
      </c>
      <c r="C25" s="13"/>
    </row>
    <row r="26" ht="21.0" customHeight="1">
      <c r="A26" s="11">
        <v>102780.0</v>
      </c>
      <c r="B26" s="16" t="s">
        <v>106</v>
      </c>
      <c r="C26" s="13"/>
    </row>
    <row r="27" ht="21.0" customHeight="1">
      <c r="A27" s="11">
        <v>77107.0</v>
      </c>
      <c r="B27" s="12" t="s">
        <v>118</v>
      </c>
      <c r="C27" s="13">
        <v>642.0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ht="21.0" customHeight="1">
      <c r="A28" s="11">
        <v>77153.0</v>
      </c>
      <c r="B28" s="15" t="s">
        <v>55</v>
      </c>
      <c r="C28" s="13">
        <v>374.5</v>
      </c>
    </row>
    <row r="29" ht="21.0" customHeight="1">
      <c r="A29" s="11">
        <v>925.0</v>
      </c>
      <c r="B29" s="17" t="s">
        <v>49</v>
      </c>
      <c r="C29" s="13">
        <v>0.2</v>
      </c>
    </row>
    <row r="30" ht="21.0" customHeight="1">
      <c r="A30" s="11">
        <v>76783.0</v>
      </c>
      <c r="B30" s="12" t="s">
        <v>11</v>
      </c>
      <c r="C30" s="13">
        <v>695.5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ht="21.0" customHeight="1">
      <c r="A31" s="11">
        <v>98679.0</v>
      </c>
      <c r="B31" s="14" t="s">
        <v>26</v>
      </c>
      <c r="C31" s="13"/>
    </row>
    <row r="32" ht="21.0" customHeight="1">
      <c r="A32" s="11">
        <v>59707.0</v>
      </c>
      <c r="B32" s="14" t="s">
        <v>78</v>
      </c>
      <c r="C32" s="13">
        <v>15.8717</v>
      </c>
    </row>
    <row r="33" ht="16.5" customHeight="1">
      <c r="A33" s="11">
        <v>77045.0</v>
      </c>
      <c r="B33" s="15" t="s">
        <v>84</v>
      </c>
      <c r="C33" s="13">
        <v>374.5</v>
      </c>
    </row>
    <row r="34" ht="16.5" customHeight="1">
      <c r="A34" s="11">
        <v>76796.0</v>
      </c>
      <c r="B34" s="15" t="s">
        <v>61</v>
      </c>
      <c r="C34" s="13">
        <v>160.5</v>
      </c>
    </row>
    <row r="35" ht="16.5" customHeight="1">
      <c r="A35" s="11">
        <v>14829.0</v>
      </c>
      <c r="B35" s="14" t="s">
        <v>35</v>
      </c>
      <c r="C35" s="13">
        <v>220.0</v>
      </c>
    </row>
    <row r="36" ht="16.5" customHeight="1">
      <c r="A36" s="11">
        <v>3950.0</v>
      </c>
      <c r="B36" s="17" t="s">
        <v>51</v>
      </c>
      <c r="C36" s="13">
        <v>0.516</v>
      </c>
    </row>
    <row r="37" ht="16.5" customHeight="1">
      <c r="A37" s="11">
        <v>9797.0</v>
      </c>
      <c r="B37" s="14" t="s">
        <v>182</v>
      </c>
      <c r="C37" s="13">
        <v>10.7</v>
      </c>
    </row>
    <row r="38" ht="16.5" customHeight="1">
      <c r="A38" s="11">
        <v>81256.0</v>
      </c>
      <c r="B38" s="15" t="s">
        <v>82</v>
      </c>
      <c r="C38" s="13">
        <v>601.34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ht="16.5" customHeight="1">
      <c r="A39" s="11">
        <v>1116.0</v>
      </c>
      <c r="B39" s="17" t="s">
        <v>169</v>
      </c>
      <c r="C39" s="13">
        <v>25.0</v>
      </c>
    </row>
    <row r="40" ht="16.5" customHeight="1">
      <c r="A40" s="11">
        <v>65332.0</v>
      </c>
      <c r="B40" s="16" t="s">
        <v>70</v>
      </c>
      <c r="C40" s="13">
        <v>941.6</v>
      </c>
    </row>
    <row r="41" ht="16.5" customHeight="1">
      <c r="A41" s="11">
        <v>58341.0</v>
      </c>
      <c r="B41" s="19" t="s">
        <v>173</v>
      </c>
      <c r="C41" s="13">
        <v>567.1</v>
      </c>
    </row>
    <row r="42" ht="16.5" customHeight="1">
      <c r="A42" s="11">
        <v>76847.0</v>
      </c>
      <c r="B42" s="15" t="s">
        <v>24</v>
      </c>
      <c r="C42" s="13">
        <v>481.5</v>
      </c>
    </row>
    <row r="43" ht="16.5" customHeight="1">
      <c r="A43" s="11">
        <v>76984.0</v>
      </c>
      <c r="B43" s="15" t="s">
        <v>124</v>
      </c>
      <c r="C43" s="13">
        <v>856.0</v>
      </c>
    </row>
    <row r="44" ht="16.5" customHeight="1">
      <c r="A44" s="11">
        <v>9914.0</v>
      </c>
      <c r="B44" s="17" t="s">
        <v>130</v>
      </c>
      <c r="C44" s="13">
        <v>0.2782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6.5" customHeight="1">
      <c r="A45" s="11">
        <v>9967.0</v>
      </c>
      <c r="B45" s="17" t="s">
        <v>154</v>
      </c>
      <c r="C45" s="13">
        <v>2.5894</v>
      </c>
    </row>
    <row r="46" ht="16.5" customHeight="1">
      <c r="A46" s="11">
        <v>81315.0</v>
      </c>
      <c r="B46" s="15" t="s">
        <v>100</v>
      </c>
      <c r="C46" s="13">
        <v>579.0</v>
      </c>
    </row>
    <row r="47" ht="16.5" customHeight="1">
      <c r="A47" s="11">
        <v>92196.0</v>
      </c>
      <c r="B47" s="15" t="s">
        <v>88</v>
      </c>
      <c r="C47" s="13">
        <v>86.0</v>
      </c>
    </row>
    <row r="48" ht="16.5" customHeight="1">
      <c r="A48" s="11">
        <v>2407.0</v>
      </c>
      <c r="B48" s="17" t="s">
        <v>147</v>
      </c>
      <c r="C48" s="13">
        <v>0.22</v>
      </c>
    </row>
    <row r="49" ht="16.5" customHeight="1">
      <c r="A49" s="11">
        <v>77084.0</v>
      </c>
      <c r="B49" s="15" t="s">
        <v>162</v>
      </c>
      <c r="C49" s="13">
        <v>963.0</v>
      </c>
    </row>
    <row r="50" ht="16.5" customHeight="1">
      <c r="A50" s="11">
        <v>77066.0</v>
      </c>
      <c r="B50" s="15" t="s">
        <v>109</v>
      </c>
      <c r="C50" s="13">
        <v>428.0</v>
      </c>
    </row>
    <row r="51" ht="16.5" customHeight="1">
      <c r="A51" s="11">
        <v>92344.0</v>
      </c>
      <c r="B51" s="15" t="s">
        <v>31</v>
      </c>
      <c r="C51" s="13">
        <v>610.0</v>
      </c>
    </row>
    <row r="52" ht="16.5" customHeight="1">
      <c r="A52" s="11">
        <v>103292.0</v>
      </c>
      <c r="B52" s="17" t="s">
        <v>156</v>
      </c>
      <c r="C52" s="13"/>
    </row>
    <row r="53" ht="16.5" customHeight="1">
      <c r="A53" s="11">
        <v>81218.0</v>
      </c>
      <c r="B53" s="15" t="s">
        <v>17</v>
      </c>
      <c r="C53" s="13">
        <v>475.0</v>
      </c>
    </row>
    <row r="54" ht="16.5" customHeight="1">
      <c r="A54" s="11">
        <v>92371.0</v>
      </c>
      <c r="B54" s="15" t="s">
        <v>65</v>
      </c>
      <c r="C54" s="13">
        <v>565.0</v>
      </c>
    </row>
    <row r="55" ht="16.5" customHeight="1">
      <c r="A55" s="11">
        <v>81287.0</v>
      </c>
      <c r="B55" s="15" t="s">
        <v>151</v>
      </c>
      <c r="C55" s="13">
        <v>38.0</v>
      </c>
    </row>
    <row r="56" ht="16.5" customHeight="1">
      <c r="A56" s="11">
        <v>76913.0</v>
      </c>
      <c r="B56" s="15" t="s">
        <v>90</v>
      </c>
      <c r="C56" s="13">
        <v>64.2</v>
      </c>
    </row>
    <row r="57" ht="16.5" customHeight="1">
      <c r="A57" s="11">
        <v>2448.0</v>
      </c>
      <c r="B57" s="17" t="s">
        <v>39</v>
      </c>
      <c r="C57" s="13">
        <v>0.8</v>
      </c>
    </row>
    <row r="58" ht="16.5" customHeight="1">
      <c r="A58" s="11">
        <v>74574.0</v>
      </c>
      <c r="B58" s="14" t="s">
        <v>72</v>
      </c>
      <c r="C58" s="13">
        <v>8560.0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ht="16.5" customHeight="1">
      <c r="A59" s="11">
        <v>92274.0</v>
      </c>
      <c r="B59" s="15" t="s">
        <v>158</v>
      </c>
      <c r="C59" s="13">
        <v>2325.0</v>
      </c>
    </row>
    <row r="60" ht="16.5" customHeight="1">
      <c r="A60" s="11">
        <v>131171.0</v>
      </c>
      <c r="B60" s="12" t="s">
        <v>15</v>
      </c>
      <c r="C60" s="13">
        <v>5000.0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</row>
    <row r="61" ht="16.5" customHeight="1">
      <c r="A61" s="20"/>
      <c r="B61" s="21"/>
    </row>
    <row r="62" ht="16.5" customHeight="1">
      <c r="A62" s="20"/>
      <c r="B62" s="21"/>
    </row>
    <row r="63" ht="16.5" customHeight="1">
      <c r="A63" s="20"/>
      <c r="B63" s="21"/>
    </row>
    <row r="64" ht="16.5" customHeight="1">
      <c r="A64" s="20"/>
      <c r="B64" s="21"/>
    </row>
    <row r="65" ht="16.5" customHeight="1">
      <c r="A65" s="20"/>
      <c r="B65" s="21"/>
    </row>
    <row r="66" ht="16.5" customHeight="1">
      <c r="A66" s="20"/>
      <c r="B66" s="21"/>
    </row>
    <row r="67" ht="16.5" customHeight="1">
      <c r="A67" s="20"/>
      <c r="B67" s="21"/>
    </row>
    <row r="68" ht="16.5" customHeight="1">
      <c r="A68" s="20"/>
      <c r="B68" s="21"/>
    </row>
    <row r="69" ht="16.5" customHeight="1">
      <c r="A69" s="20"/>
      <c r="B69" s="21"/>
    </row>
    <row r="70" ht="16.5" customHeight="1">
      <c r="A70" s="20"/>
      <c r="B70" s="21"/>
    </row>
    <row r="71" ht="16.5" customHeight="1">
      <c r="A71" s="20"/>
      <c r="B71" s="21"/>
    </row>
    <row r="72" ht="16.5" customHeight="1">
      <c r="A72" s="20"/>
      <c r="B72" s="21"/>
    </row>
    <row r="73" ht="16.5" customHeight="1">
      <c r="A73" s="20"/>
      <c r="B73" s="21"/>
    </row>
    <row r="74" ht="16.5" customHeight="1">
      <c r="A74" s="20"/>
      <c r="B74" s="21"/>
    </row>
    <row r="75" ht="16.5" customHeight="1">
      <c r="A75" s="20"/>
      <c r="B75" s="21"/>
    </row>
    <row r="76" ht="16.5" customHeight="1">
      <c r="A76" s="20"/>
      <c r="B76" s="21"/>
    </row>
    <row r="77" ht="16.5" customHeight="1">
      <c r="A77" s="20"/>
      <c r="B77" s="21"/>
    </row>
    <row r="78" ht="16.5" customHeight="1">
      <c r="A78" s="20"/>
      <c r="B78" s="21"/>
    </row>
    <row r="79" ht="16.5" customHeight="1">
      <c r="A79" s="20"/>
      <c r="B79" s="21"/>
    </row>
    <row r="80" ht="16.5" customHeight="1">
      <c r="A80" s="20"/>
      <c r="B80" s="21"/>
    </row>
    <row r="81" ht="16.5" customHeight="1">
      <c r="A81" s="20"/>
      <c r="B81" s="21"/>
    </row>
    <row r="82" ht="16.5" customHeight="1">
      <c r="A82" s="20"/>
      <c r="B82" s="21"/>
    </row>
    <row r="83" ht="16.5" customHeight="1">
      <c r="A83" s="20"/>
      <c r="B83" s="21"/>
    </row>
    <row r="84" ht="16.5" customHeight="1">
      <c r="A84" s="20"/>
      <c r="B84" s="21"/>
    </row>
    <row r="85" ht="16.5" customHeight="1">
      <c r="A85" s="20"/>
      <c r="B85" s="21"/>
    </row>
    <row r="86" ht="16.5" customHeight="1">
      <c r="A86" s="20"/>
      <c r="B86" s="21"/>
    </row>
    <row r="87" ht="16.5" customHeight="1">
      <c r="A87" s="20"/>
      <c r="B87" s="21"/>
    </row>
    <row r="88" ht="16.5" customHeight="1">
      <c r="A88" s="20"/>
      <c r="B88" s="21"/>
    </row>
    <row r="89" ht="16.5" customHeight="1">
      <c r="A89" s="20"/>
      <c r="B89" s="21"/>
    </row>
    <row r="90" ht="16.5" customHeight="1">
      <c r="A90" s="20"/>
      <c r="B90" s="21"/>
    </row>
    <row r="91" ht="16.5" customHeight="1">
      <c r="A91" s="20"/>
      <c r="B91" s="21"/>
    </row>
    <row r="92" ht="16.5" customHeight="1">
      <c r="A92" s="20"/>
      <c r="B92" s="21"/>
    </row>
    <row r="93" ht="16.5" customHeight="1">
      <c r="A93" s="20"/>
      <c r="B93" s="21"/>
    </row>
    <row r="94" ht="16.5" customHeight="1">
      <c r="A94" s="20"/>
      <c r="B94" s="21"/>
    </row>
    <row r="95" ht="16.5" customHeight="1">
      <c r="A95" s="20"/>
      <c r="B95" s="21"/>
    </row>
    <row r="96" ht="16.5" customHeight="1">
      <c r="A96" s="20"/>
      <c r="B96" s="21"/>
    </row>
    <row r="97" ht="16.5" customHeight="1">
      <c r="A97" s="20"/>
      <c r="B97" s="21"/>
    </row>
    <row r="98" ht="16.5" customHeight="1">
      <c r="A98" s="20"/>
      <c r="B98" s="21"/>
    </row>
    <row r="99" ht="16.5" customHeight="1">
      <c r="A99" s="20"/>
      <c r="B99" s="21"/>
    </row>
    <row r="100" ht="16.5" customHeight="1">
      <c r="A100" s="20"/>
      <c r="B100" s="21"/>
    </row>
    <row r="101" ht="16.5" customHeight="1">
      <c r="A101" s="20"/>
      <c r="B101" s="21"/>
    </row>
    <row r="102" ht="16.5" customHeight="1">
      <c r="A102" s="20"/>
      <c r="B102" s="21"/>
    </row>
    <row r="103" ht="16.5" customHeight="1">
      <c r="A103" s="20"/>
      <c r="B103" s="21"/>
    </row>
    <row r="104" ht="16.5" customHeight="1">
      <c r="A104" s="20"/>
      <c r="B104" s="21"/>
    </row>
    <row r="105" ht="16.5" customHeight="1">
      <c r="A105" s="20"/>
      <c r="B105" s="21"/>
    </row>
    <row r="106" ht="16.5" customHeight="1">
      <c r="A106" s="20"/>
      <c r="B106" s="21"/>
    </row>
    <row r="107" ht="16.5" customHeight="1">
      <c r="A107" s="20"/>
      <c r="B107" s="21"/>
    </row>
    <row r="108" ht="16.5" customHeight="1">
      <c r="A108" s="20"/>
      <c r="B108" s="21"/>
    </row>
    <row r="109" ht="16.5" customHeight="1">
      <c r="A109" s="20"/>
      <c r="B109" s="21"/>
    </row>
    <row r="110" ht="16.5" customHeight="1">
      <c r="A110" s="20"/>
      <c r="B110" s="21"/>
    </row>
    <row r="111" ht="16.5" customHeight="1">
      <c r="A111" s="20"/>
      <c r="B111" s="21"/>
    </row>
    <row r="112" ht="16.5" customHeight="1">
      <c r="A112" s="20"/>
      <c r="B112" s="21"/>
    </row>
    <row r="113" ht="16.5" customHeight="1">
      <c r="A113" s="20"/>
      <c r="B113" s="21"/>
    </row>
    <row r="114" ht="16.5" customHeight="1">
      <c r="A114" s="20"/>
      <c r="B114" s="21"/>
    </row>
    <row r="115" ht="16.5" customHeight="1">
      <c r="A115" s="20"/>
      <c r="B115" s="21"/>
    </row>
    <row r="116" ht="16.5" customHeight="1">
      <c r="A116" s="20"/>
      <c r="B116" s="21"/>
    </row>
    <row r="117" ht="16.5" customHeight="1">
      <c r="A117" s="20"/>
      <c r="B117" s="21"/>
    </row>
    <row r="118" ht="16.5" customHeight="1">
      <c r="A118" s="20"/>
      <c r="B118" s="21"/>
    </row>
    <row r="119" ht="16.5" customHeight="1">
      <c r="A119" s="20"/>
      <c r="B119" s="21"/>
    </row>
    <row r="120" ht="16.5" customHeight="1">
      <c r="A120" s="20"/>
      <c r="B120" s="21"/>
    </row>
    <row r="121" ht="16.5" customHeight="1">
      <c r="A121" s="20"/>
      <c r="B121" s="21"/>
    </row>
    <row r="122" ht="16.5" customHeight="1">
      <c r="A122" s="20"/>
      <c r="B122" s="21"/>
    </row>
    <row r="123" ht="16.5" customHeight="1">
      <c r="A123" s="20"/>
      <c r="B123" s="21"/>
    </row>
    <row r="124" ht="16.5" customHeight="1">
      <c r="A124" s="20"/>
      <c r="B124" s="21"/>
    </row>
    <row r="125" ht="16.5" customHeight="1">
      <c r="A125" s="20"/>
      <c r="B125" s="21"/>
    </row>
    <row r="126" ht="16.5" customHeight="1">
      <c r="A126" s="20"/>
      <c r="B126" s="21"/>
    </row>
    <row r="127" ht="16.5" customHeight="1">
      <c r="A127" s="20"/>
      <c r="B127" s="21"/>
    </row>
    <row r="128" ht="16.5" customHeight="1">
      <c r="A128" s="20"/>
      <c r="B128" s="21"/>
    </row>
    <row r="129" ht="16.5" customHeight="1">
      <c r="A129" s="20"/>
      <c r="B129" s="21"/>
    </row>
    <row r="130" ht="16.5" customHeight="1">
      <c r="A130" s="20"/>
      <c r="B130" s="21"/>
    </row>
    <row r="131" ht="16.5" customHeight="1">
      <c r="A131" s="20"/>
      <c r="B131" s="21"/>
    </row>
    <row r="132" ht="16.5" customHeight="1">
      <c r="A132" s="20"/>
      <c r="B132" s="21"/>
    </row>
    <row r="133" ht="16.5" customHeight="1">
      <c r="A133" s="20"/>
      <c r="B133" s="21"/>
    </row>
    <row r="134" ht="16.5" customHeight="1">
      <c r="A134" s="20"/>
      <c r="B134" s="21"/>
    </row>
    <row r="135" ht="16.5" customHeight="1">
      <c r="A135" s="20"/>
      <c r="B135" s="21"/>
    </row>
    <row r="136" ht="16.5" customHeight="1">
      <c r="A136" s="20"/>
      <c r="B136" s="21"/>
    </row>
    <row r="137" ht="16.5" customHeight="1">
      <c r="A137" s="20"/>
      <c r="B137" s="21"/>
    </row>
    <row r="138" ht="16.5" customHeight="1">
      <c r="A138" s="20"/>
      <c r="B138" s="21"/>
    </row>
    <row r="139" ht="16.5" customHeight="1">
      <c r="A139" s="20"/>
      <c r="B139" s="21"/>
    </row>
    <row r="140" ht="16.5" customHeight="1">
      <c r="A140" s="20"/>
      <c r="B140" s="21"/>
    </row>
    <row r="141" ht="16.5" customHeight="1">
      <c r="A141" s="20"/>
      <c r="B141" s="21"/>
    </row>
    <row r="142" ht="16.5" customHeight="1">
      <c r="A142" s="20"/>
      <c r="B142" s="21"/>
    </row>
    <row r="143" ht="16.5" customHeight="1">
      <c r="A143" s="20"/>
      <c r="B143" s="21"/>
    </row>
    <row r="144" ht="16.5" customHeight="1">
      <c r="A144" s="20"/>
      <c r="B144" s="21"/>
    </row>
    <row r="145" ht="16.5" customHeight="1">
      <c r="A145" s="20"/>
      <c r="B145" s="21"/>
    </row>
    <row r="146" ht="16.5" customHeight="1">
      <c r="A146" s="20"/>
      <c r="B146" s="21"/>
    </row>
    <row r="147" ht="16.5" customHeight="1">
      <c r="A147" s="20"/>
      <c r="B147" s="21"/>
    </row>
    <row r="148" ht="16.5" customHeight="1">
      <c r="A148" s="20"/>
      <c r="B148" s="21"/>
    </row>
    <row r="149" ht="16.5" customHeight="1">
      <c r="A149" s="20"/>
      <c r="B149" s="21"/>
    </row>
    <row r="150" ht="16.5" customHeight="1">
      <c r="A150" s="20"/>
      <c r="B150" s="21"/>
    </row>
    <row r="151" ht="16.5" customHeight="1">
      <c r="A151" s="20"/>
      <c r="B151" s="21"/>
    </row>
    <row r="152" ht="16.5" customHeight="1">
      <c r="A152" s="20"/>
      <c r="B152" s="21"/>
    </row>
    <row r="153" ht="16.5" customHeight="1">
      <c r="A153" s="20"/>
      <c r="B153" s="21"/>
    </row>
    <row r="154" ht="16.5" customHeight="1">
      <c r="A154" s="20"/>
      <c r="B154" s="21"/>
    </row>
    <row r="155" ht="16.5" customHeight="1">
      <c r="A155" s="20"/>
      <c r="B155" s="21"/>
    </row>
    <row r="156" ht="16.5" customHeight="1">
      <c r="A156" s="20"/>
      <c r="B156" s="21"/>
    </row>
    <row r="157" ht="16.5" customHeight="1">
      <c r="A157" s="20"/>
      <c r="B157" s="21"/>
    </row>
    <row r="158" ht="16.5" customHeight="1">
      <c r="A158" s="20"/>
      <c r="B158" s="21"/>
    </row>
    <row r="159" ht="16.5" customHeight="1">
      <c r="A159" s="20"/>
      <c r="B159" s="21"/>
    </row>
    <row r="160" ht="16.5" customHeight="1">
      <c r="A160" s="20"/>
      <c r="B160" s="21"/>
    </row>
    <row r="161" ht="16.5" customHeight="1">
      <c r="A161" s="20"/>
      <c r="B161" s="21"/>
    </row>
    <row r="162" ht="16.5" customHeight="1">
      <c r="A162" s="20"/>
      <c r="B162" s="21"/>
    </row>
    <row r="163" ht="16.5" customHeight="1">
      <c r="A163" s="20"/>
      <c r="B163" s="21"/>
    </row>
    <row r="164" ht="16.5" customHeight="1">
      <c r="A164" s="20"/>
      <c r="B164" s="21"/>
    </row>
    <row r="165" ht="16.5" customHeight="1">
      <c r="A165" s="20"/>
      <c r="B165" s="21"/>
    </row>
    <row r="166" ht="16.5" customHeight="1">
      <c r="A166" s="20"/>
      <c r="B166" s="21"/>
    </row>
    <row r="167" ht="16.5" customHeight="1">
      <c r="A167" s="20"/>
      <c r="B167" s="21"/>
    </row>
    <row r="168" ht="16.5" customHeight="1">
      <c r="A168" s="20"/>
      <c r="B168" s="21"/>
    </row>
    <row r="169" ht="16.5" customHeight="1">
      <c r="A169" s="20"/>
      <c r="B169" s="21"/>
    </row>
    <row r="170" ht="16.5" customHeight="1">
      <c r="A170" s="20"/>
      <c r="B170" s="21"/>
    </row>
    <row r="171" ht="16.5" customHeight="1">
      <c r="A171" s="20"/>
      <c r="B171" s="21"/>
    </row>
    <row r="172" ht="16.5" customHeight="1">
      <c r="A172" s="20"/>
      <c r="B172" s="21"/>
    </row>
    <row r="173" ht="16.5" customHeight="1">
      <c r="A173" s="20"/>
      <c r="B173" s="21"/>
    </row>
    <row r="174" ht="16.5" customHeight="1">
      <c r="A174" s="20"/>
      <c r="B174" s="21"/>
    </row>
    <row r="175" ht="16.5" customHeight="1">
      <c r="A175" s="20"/>
      <c r="B175" s="21"/>
    </row>
    <row r="176" ht="16.5" customHeight="1">
      <c r="A176" s="20"/>
      <c r="B176" s="21"/>
    </row>
    <row r="177" ht="16.5" customHeight="1">
      <c r="A177" s="20"/>
      <c r="B177" s="21"/>
    </row>
    <row r="178" ht="16.5" customHeight="1">
      <c r="A178" s="20"/>
      <c r="B178" s="21"/>
    </row>
    <row r="179" ht="16.5" customHeight="1">
      <c r="A179" s="20"/>
      <c r="B179" s="21"/>
    </row>
    <row r="180" ht="16.5" customHeight="1">
      <c r="A180" s="20"/>
      <c r="B180" s="21"/>
    </row>
    <row r="181" ht="16.5" customHeight="1">
      <c r="A181" s="20"/>
      <c r="B181" s="21"/>
    </row>
    <row r="182" ht="16.5" customHeight="1">
      <c r="A182" s="20"/>
      <c r="B182" s="21"/>
    </row>
    <row r="183" ht="16.5" customHeight="1">
      <c r="A183" s="20"/>
      <c r="B183" s="21"/>
    </row>
    <row r="184" ht="16.5" customHeight="1">
      <c r="A184" s="20"/>
      <c r="B184" s="21"/>
    </row>
    <row r="185" ht="16.5" customHeight="1">
      <c r="A185" s="20"/>
      <c r="B185" s="21"/>
    </row>
    <row r="186" ht="16.5" customHeight="1">
      <c r="A186" s="20"/>
      <c r="B186" s="21"/>
    </row>
    <row r="187" ht="16.5" customHeight="1">
      <c r="A187" s="20"/>
      <c r="B187" s="21"/>
    </row>
    <row r="188" ht="16.5" customHeight="1">
      <c r="A188" s="20"/>
      <c r="B188" s="21"/>
    </row>
    <row r="189" ht="16.5" customHeight="1">
      <c r="A189" s="20"/>
      <c r="B189" s="21"/>
    </row>
    <row r="190" ht="16.5" customHeight="1">
      <c r="A190" s="20"/>
      <c r="B190" s="21"/>
    </row>
    <row r="191" ht="16.5" customHeight="1">
      <c r="A191" s="20"/>
      <c r="B191" s="21"/>
    </row>
    <row r="192" ht="16.5" customHeight="1">
      <c r="A192" s="20"/>
      <c r="B192" s="21"/>
    </row>
    <row r="193" ht="16.5" customHeight="1">
      <c r="A193" s="20"/>
      <c r="B193" s="21"/>
    </row>
    <row r="194" ht="16.5" customHeight="1">
      <c r="A194" s="20"/>
      <c r="B194" s="21"/>
    </row>
    <row r="195" ht="16.5" customHeight="1">
      <c r="A195" s="20"/>
      <c r="B195" s="21"/>
    </row>
    <row r="196" ht="16.5" customHeight="1">
      <c r="A196" s="20"/>
      <c r="B196" s="21"/>
    </row>
    <row r="197" ht="16.5" customHeight="1">
      <c r="A197" s="20"/>
      <c r="B197" s="21"/>
    </row>
    <row r="198" ht="16.5" customHeight="1">
      <c r="A198" s="20"/>
      <c r="B198" s="21"/>
    </row>
    <row r="199" ht="16.5" customHeight="1">
      <c r="A199" s="20"/>
      <c r="B199" s="21"/>
    </row>
    <row r="200" ht="16.5" customHeight="1">
      <c r="A200" s="20"/>
      <c r="B200" s="21"/>
    </row>
    <row r="201" ht="16.5" customHeight="1">
      <c r="A201" s="20"/>
      <c r="B201" s="21"/>
    </row>
    <row r="202" ht="16.5" customHeight="1">
      <c r="A202" s="20"/>
      <c r="B202" s="21"/>
    </row>
    <row r="203" ht="16.5" customHeight="1">
      <c r="A203" s="20"/>
      <c r="B203" s="21"/>
    </row>
    <row r="204" ht="16.5" customHeight="1">
      <c r="A204" s="20"/>
      <c r="B204" s="21"/>
    </row>
    <row r="205" ht="16.5" customHeight="1">
      <c r="A205" s="20"/>
      <c r="B205" s="21"/>
    </row>
    <row r="206" ht="16.5" customHeight="1">
      <c r="A206" s="20"/>
      <c r="B206" s="21"/>
    </row>
    <row r="207" ht="16.5" customHeight="1">
      <c r="A207" s="20"/>
      <c r="B207" s="21"/>
    </row>
    <row r="208" ht="16.5" customHeight="1">
      <c r="A208" s="20"/>
      <c r="B208" s="21"/>
    </row>
    <row r="209" ht="16.5" customHeight="1">
      <c r="A209" s="20"/>
      <c r="B209" s="21"/>
    </row>
    <row r="210" ht="16.5" customHeight="1">
      <c r="A210" s="20"/>
      <c r="B210" s="21"/>
    </row>
    <row r="211" ht="16.5" customHeight="1">
      <c r="A211" s="20"/>
      <c r="B211" s="21"/>
    </row>
    <row r="212" ht="16.5" customHeight="1">
      <c r="A212" s="20"/>
      <c r="B212" s="21"/>
    </row>
    <row r="213" ht="16.5" customHeight="1">
      <c r="A213" s="20"/>
      <c r="B213" s="21"/>
    </row>
    <row r="214" ht="16.5" customHeight="1">
      <c r="A214" s="20"/>
      <c r="B214" s="21"/>
    </row>
    <row r="215" ht="16.5" customHeight="1">
      <c r="A215" s="20"/>
      <c r="B215" s="21"/>
    </row>
    <row r="216" ht="16.5" customHeight="1">
      <c r="A216" s="20"/>
      <c r="B216" s="21"/>
    </row>
    <row r="217" ht="16.5" customHeight="1">
      <c r="A217" s="20"/>
      <c r="B217" s="21"/>
    </row>
    <row r="218" ht="16.5" customHeight="1">
      <c r="A218" s="20"/>
      <c r="B218" s="21"/>
    </row>
    <row r="219" ht="16.5" customHeight="1">
      <c r="A219" s="20"/>
      <c r="B219" s="21"/>
    </row>
    <row r="220" ht="16.5" customHeight="1">
      <c r="A220" s="20"/>
      <c r="B220" s="21"/>
    </row>
    <row r="221" ht="16.5" customHeight="1">
      <c r="A221" s="20"/>
      <c r="B221" s="21"/>
    </row>
    <row r="222" ht="16.5" customHeight="1">
      <c r="A222" s="20"/>
      <c r="B222" s="21"/>
    </row>
    <row r="223" ht="16.5" customHeight="1">
      <c r="A223" s="20"/>
      <c r="B223" s="21"/>
    </row>
    <row r="224" ht="16.5" customHeight="1">
      <c r="A224" s="20"/>
      <c r="B224" s="21"/>
    </row>
    <row r="225" ht="16.5" customHeight="1">
      <c r="A225" s="20"/>
      <c r="B225" s="21"/>
    </row>
    <row r="226" ht="16.5" customHeight="1">
      <c r="A226" s="20"/>
      <c r="B226" s="21"/>
    </row>
    <row r="227" ht="16.5" customHeight="1">
      <c r="A227" s="20"/>
      <c r="B227" s="21"/>
    </row>
    <row r="228" ht="16.5" customHeight="1">
      <c r="A228" s="20"/>
      <c r="B228" s="21"/>
    </row>
    <row r="229" ht="16.5" customHeight="1">
      <c r="A229" s="20"/>
      <c r="B229" s="21"/>
    </row>
    <row r="230" ht="16.5" customHeight="1">
      <c r="A230" s="20"/>
      <c r="B230" s="21"/>
    </row>
    <row r="231" ht="16.5" customHeight="1">
      <c r="A231" s="20"/>
      <c r="B231" s="21"/>
    </row>
    <row r="232" ht="16.5" customHeight="1">
      <c r="A232" s="20"/>
      <c r="B232" s="21"/>
    </row>
    <row r="233" ht="16.5" customHeight="1">
      <c r="A233" s="20"/>
      <c r="B233" s="21"/>
    </row>
    <row r="234" ht="16.5" customHeight="1">
      <c r="A234" s="20"/>
      <c r="B234" s="21"/>
    </row>
    <row r="235" ht="16.5" customHeight="1">
      <c r="A235" s="20"/>
      <c r="B235" s="21"/>
    </row>
    <row r="236" ht="16.5" customHeight="1">
      <c r="A236" s="20"/>
      <c r="B236" s="21"/>
    </row>
    <row r="237" ht="16.5" customHeight="1">
      <c r="A237" s="20"/>
      <c r="B237" s="21"/>
    </row>
    <row r="238" ht="16.5" customHeight="1">
      <c r="A238" s="20"/>
      <c r="B238" s="21"/>
    </row>
    <row r="239" ht="16.5" customHeight="1">
      <c r="A239" s="20"/>
      <c r="B239" s="21"/>
    </row>
    <row r="240" ht="16.5" customHeight="1">
      <c r="A240" s="20"/>
      <c r="B240" s="21"/>
    </row>
    <row r="241" ht="16.5" customHeight="1">
      <c r="A241" s="20"/>
      <c r="B241" s="21"/>
    </row>
    <row r="242" ht="16.5" customHeight="1">
      <c r="A242" s="20"/>
      <c r="B242" s="21"/>
    </row>
    <row r="243" ht="16.5" customHeight="1">
      <c r="A243" s="20"/>
      <c r="B243" s="21"/>
    </row>
    <row r="244" ht="16.5" customHeight="1">
      <c r="A244" s="20"/>
      <c r="B244" s="21"/>
    </row>
    <row r="245" ht="16.5" customHeight="1">
      <c r="A245" s="20"/>
      <c r="B245" s="21"/>
    </row>
    <row r="246" ht="16.5" customHeight="1">
      <c r="A246" s="20"/>
      <c r="B246" s="21"/>
    </row>
    <row r="247" ht="16.5" customHeight="1">
      <c r="A247" s="20"/>
      <c r="B247" s="21"/>
    </row>
    <row r="248" ht="16.5" customHeight="1">
      <c r="A248" s="20"/>
      <c r="B248" s="21"/>
    </row>
    <row r="249" ht="16.5" customHeight="1">
      <c r="A249" s="20"/>
      <c r="B249" s="21"/>
    </row>
    <row r="250" ht="16.5" customHeight="1">
      <c r="A250" s="20"/>
      <c r="B250" s="21"/>
    </row>
    <row r="251" ht="16.5" customHeight="1">
      <c r="A251" s="20"/>
      <c r="B251" s="21"/>
    </row>
    <row r="252" ht="16.5" customHeight="1">
      <c r="A252" s="20"/>
      <c r="B252" s="21"/>
    </row>
    <row r="253" ht="16.5" customHeight="1">
      <c r="A253" s="20"/>
      <c r="B253" s="21"/>
    </row>
    <row r="254" ht="16.5" customHeight="1">
      <c r="A254" s="20"/>
      <c r="B254" s="21"/>
    </row>
    <row r="255" ht="16.5" customHeight="1">
      <c r="A255" s="20"/>
      <c r="B255" s="21"/>
    </row>
    <row r="256" ht="16.5" customHeight="1">
      <c r="A256" s="20"/>
      <c r="B256" s="21"/>
    </row>
    <row r="257" ht="16.5" customHeight="1">
      <c r="A257" s="20"/>
      <c r="B257" s="21"/>
    </row>
    <row r="258" ht="16.5" customHeight="1">
      <c r="A258" s="20"/>
      <c r="B258" s="21"/>
    </row>
    <row r="259" ht="16.5" customHeight="1">
      <c r="A259" s="20"/>
      <c r="B259" s="21"/>
    </row>
    <row r="260" ht="16.5" customHeight="1">
      <c r="A260" s="20"/>
      <c r="B260" s="21"/>
    </row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custom" allowBlank="1" showDropDown="1" sqref="A2:A60 C2:C60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2026-03-20T13:17:42Z</dcterms:created>
  <dc:creator>openpyxl</dc:creator>
</cp:coreProperties>
</file>