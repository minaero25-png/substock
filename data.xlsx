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ELLE\Downloads\"/>
    </mc:Choice>
  </mc:AlternateContent>
  <xr:revisionPtr revIDLastSave="0" documentId="13_ncr:1_{D3E4ACDB-1CBE-45F0-8021-52D6575E410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ub stock Data" sheetId="1" r:id="rId1"/>
    <sheet name="Pric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9XbyU1yS/xUxXM3/7xp6nu8gzrUIOcw4vj2+0CqWijk="/>
    </ext>
  </extLst>
</workbook>
</file>

<file path=xl/calcChain.xml><?xml version="1.0" encoding="utf-8"?>
<calcChain xmlns="http://schemas.openxmlformats.org/spreadsheetml/2006/main">
  <c r="I95" i="1" l="1"/>
  <c r="G95" i="1"/>
  <c r="I94" i="1"/>
  <c r="G94" i="1"/>
  <c r="I93" i="1"/>
  <c r="G93" i="1"/>
  <c r="I92" i="1"/>
  <c r="G92" i="1"/>
  <c r="I91" i="1"/>
  <c r="G91" i="1"/>
  <c r="I90" i="1"/>
  <c r="G90" i="1"/>
  <c r="I89" i="1"/>
  <c r="G89" i="1"/>
  <c r="I88" i="1"/>
  <c r="G88" i="1"/>
  <c r="I87" i="1"/>
  <c r="G87" i="1"/>
  <c r="I86" i="1"/>
  <c r="G86" i="1"/>
  <c r="I85" i="1"/>
  <c r="G85" i="1"/>
  <c r="I84" i="1"/>
  <c r="G84" i="1"/>
  <c r="I83" i="1"/>
  <c r="G83" i="1"/>
  <c r="I82" i="1"/>
  <c r="G82" i="1"/>
  <c r="I81" i="1"/>
  <c r="G81" i="1"/>
  <c r="I80" i="1"/>
  <c r="G80" i="1"/>
  <c r="I79" i="1"/>
  <c r="G79" i="1"/>
  <c r="I78" i="1"/>
  <c r="G78" i="1"/>
  <c r="I77" i="1"/>
  <c r="G77" i="1"/>
  <c r="I76" i="1"/>
  <c r="G76" i="1"/>
  <c r="I75" i="1"/>
  <c r="G75" i="1"/>
  <c r="I74" i="1"/>
  <c r="G74" i="1"/>
  <c r="I73" i="1"/>
  <c r="G73" i="1"/>
  <c r="I72" i="1"/>
  <c r="G72" i="1"/>
  <c r="I71" i="1"/>
  <c r="G71" i="1"/>
  <c r="I70" i="1"/>
  <c r="G70" i="1"/>
  <c r="I69" i="1"/>
  <c r="G69" i="1"/>
  <c r="I68" i="1"/>
  <c r="G68" i="1"/>
  <c r="I67" i="1"/>
  <c r="G67" i="1"/>
  <c r="I66" i="1"/>
  <c r="G66" i="1"/>
  <c r="I65" i="1"/>
  <c r="G65" i="1"/>
  <c r="I64" i="1"/>
  <c r="G64" i="1"/>
  <c r="I63" i="1"/>
  <c r="G63" i="1"/>
  <c r="I62" i="1"/>
  <c r="G62" i="1"/>
  <c r="I61" i="1"/>
  <c r="G61" i="1"/>
  <c r="I60" i="1"/>
  <c r="G60" i="1"/>
  <c r="I59" i="1"/>
  <c r="G59" i="1"/>
  <c r="I58" i="1"/>
  <c r="G58" i="1"/>
  <c r="I57" i="1"/>
  <c r="G57" i="1"/>
  <c r="I56" i="1"/>
  <c r="G56" i="1"/>
  <c r="I55" i="1"/>
  <c r="G55" i="1"/>
  <c r="I54" i="1"/>
  <c r="G54" i="1"/>
  <c r="I53" i="1"/>
  <c r="G53" i="1"/>
  <c r="I52" i="1"/>
  <c r="G52" i="1"/>
  <c r="I51" i="1"/>
  <c r="G51" i="1"/>
  <c r="I50" i="1"/>
  <c r="G50" i="1"/>
  <c r="I49" i="1"/>
  <c r="G49" i="1"/>
  <c r="I48" i="1"/>
  <c r="G48" i="1"/>
  <c r="I47" i="1"/>
  <c r="G47" i="1"/>
  <c r="I46" i="1"/>
  <c r="G46" i="1"/>
  <c r="I45" i="1"/>
  <c r="G45" i="1"/>
  <c r="I44" i="1"/>
  <c r="G44" i="1"/>
  <c r="I43" i="1"/>
  <c r="G43" i="1"/>
  <c r="I42" i="1"/>
  <c r="G42" i="1"/>
  <c r="I41" i="1"/>
  <c r="G41" i="1"/>
  <c r="I40" i="1"/>
  <c r="G40" i="1"/>
  <c r="I39" i="1"/>
  <c r="G39" i="1"/>
  <c r="I38" i="1"/>
  <c r="G38" i="1"/>
  <c r="I37" i="1"/>
  <c r="G37" i="1"/>
  <c r="I36" i="1"/>
  <c r="G36" i="1"/>
  <c r="I35" i="1"/>
  <c r="G35" i="1"/>
  <c r="I34" i="1"/>
  <c r="G34" i="1"/>
  <c r="I33" i="1"/>
  <c r="G33" i="1"/>
  <c r="I32" i="1"/>
  <c r="G32" i="1"/>
  <c r="I31" i="1"/>
  <c r="G31" i="1"/>
  <c r="I30" i="1"/>
  <c r="G30" i="1"/>
  <c r="I29" i="1"/>
  <c r="G29" i="1"/>
  <c r="I28" i="1"/>
  <c r="G28" i="1"/>
  <c r="I27" i="1"/>
  <c r="G27" i="1"/>
  <c r="I26" i="1"/>
  <c r="G26" i="1"/>
  <c r="I25" i="1"/>
  <c r="G25" i="1"/>
  <c r="I24" i="1"/>
  <c r="G24" i="1"/>
  <c r="I23" i="1"/>
  <c r="G23" i="1"/>
  <c r="I22" i="1"/>
  <c r="G22" i="1"/>
  <c r="I21" i="1"/>
  <c r="G21" i="1"/>
  <c r="I20" i="1"/>
  <c r="G20" i="1"/>
  <c r="I19" i="1"/>
  <c r="G19" i="1"/>
  <c r="I18" i="1"/>
  <c r="G18" i="1"/>
  <c r="I17" i="1"/>
  <c r="G17" i="1"/>
  <c r="I16" i="1"/>
  <c r="G16" i="1"/>
  <c r="I15" i="1"/>
  <c r="G15" i="1"/>
  <c r="I14" i="1"/>
  <c r="G14" i="1"/>
  <c r="I13" i="1"/>
  <c r="G13" i="1"/>
  <c r="I12" i="1"/>
  <c r="G12" i="1"/>
  <c r="I11" i="1"/>
  <c r="G11" i="1"/>
  <c r="I10" i="1"/>
  <c r="G10" i="1"/>
  <c r="I9" i="1"/>
  <c r="G9" i="1"/>
  <c r="I8" i="1"/>
  <c r="G8" i="1"/>
  <c r="I7" i="1"/>
  <c r="G7" i="1"/>
  <c r="I6" i="1"/>
  <c r="G6" i="1"/>
  <c r="I5" i="1"/>
  <c r="G5" i="1"/>
  <c r="I4" i="1"/>
  <c r="G4" i="1"/>
  <c r="I3" i="1"/>
  <c r="G3" i="1"/>
  <c r="I2" i="1"/>
  <c r="G2" i="1"/>
</calcChain>
</file>

<file path=xl/sharedStrings.xml><?xml version="1.0" encoding="utf-8"?>
<sst xmlns="http://schemas.openxmlformats.org/spreadsheetml/2006/main" count="379" uniqueCount="192">
  <si>
    <t>รหัสยา</t>
  </si>
  <si>
    <t>รายการทั้งหมด</t>
  </si>
  <si>
    <t>Lot number</t>
  </si>
  <si>
    <t>วันหมดอายุ</t>
  </si>
  <si>
    <t>จำนวน</t>
  </si>
  <si>
    <t>ราคา</t>
  </si>
  <si>
    <t>มูลค่า</t>
  </si>
  <si>
    <t>ประเภท</t>
  </si>
  <si>
    <t>เหลืออีกกี่วันจะหมดอายุ</t>
  </si>
  <si>
    <t>สถานะ</t>
  </si>
  <si>
    <t>วันที่บันทึกสถานะ</t>
  </si>
  <si>
    <t>Lemon flavor</t>
  </si>
  <si>
    <t>2024012012</t>
  </si>
  <si>
    <t>สาร</t>
  </si>
  <si>
    <t>รอทำลาย</t>
  </si>
  <si>
    <t>Trypan blue 0.4% 100ml</t>
  </si>
  <si>
    <t>2466078</t>
  </si>
  <si>
    <t>Saccharin</t>
  </si>
  <si>
    <t>20220304</t>
  </si>
  <si>
    <t>Chlohexidine gluconate 20%</t>
  </si>
  <si>
    <t>104240153</t>
  </si>
  <si>
    <t>นำออกจากShelf แล้ว</t>
  </si>
  <si>
    <t>95% Ethanol</t>
  </si>
  <si>
    <t>A1XD240422SL</t>
  </si>
  <si>
    <t>เฝ้าระวังใกล้หมดอายุ</t>
  </si>
  <si>
    <t>PEG 40 HYDROGENATED CASTOR OIL</t>
  </si>
  <si>
    <t>07655424U0</t>
  </si>
  <si>
    <t>Letrozole 2.5 mg กองซื้อ</t>
  </si>
  <si>
    <t>M411821</t>
  </si>
  <si>
    <t>ยางานเคมี</t>
  </si>
  <si>
    <t>Paclitaxel Mini spike เขียว</t>
  </si>
  <si>
    <t>21L21A8131</t>
  </si>
  <si>
    <t>Rasberry essence</t>
  </si>
  <si>
    <t>2024101808</t>
  </si>
  <si>
    <t>กำลังเปิดใช้</t>
  </si>
  <si>
    <t>Dibasic sodium phosphate</t>
  </si>
  <si>
    <t>224243-1026</t>
  </si>
  <si>
    <t>Mitomycin C inj</t>
  </si>
  <si>
    <t>NN4462A</t>
  </si>
  <si>
    <t>C.M.C. sodium</t>
  </si>
  <si>
    <t>24111684</t>
  </si>
  <si>
    <t>Spironolactone 25mg</t>
  </si>
  <si>
    <t>2403321</t>
  </si>
  <si>
    <t>ยางานผลิต</t>
  </si>
  <si>
    <t>Famotidine tab</t>
  </si>
  <si>
    <t>2219</t>
  </si>
  <si>
    <t>Anise oil</t>
  </si>
  <si>
    <t>22311096</t>
  </si>
  <si>
    <t>สีผง Yellow Tartazine (Lemon Yellow)</t>
  </si>
  <si>
    <t>01L23</t>
  </si>
  <si>
    <t>22A08A8131</t>
  </si>
  <si>
    <t>Isoniasid 100mg</t>
  </si>
  <si>
    <t>T680065</t>
  </si>
  <si>
    <t>Omeprazole 20mg</t>
  </si>
  <si>
    <t>OP501A</t>
  </si>
  <si>
    <t>Boric acid</t>
  </si>
  <si>
    <t>230210-0127</t>
  </si>
  <si>
    <t>Hydroxypropyl MC (HPMC)</t>
  </si>
  <si>
    <t>5120223D33</t>
  </si>
  <si>
    <t>Baclofen 10mg tab</t>
  </si>
  <si>
    <t>AE10046</t>
  </si>
  <si>
    <t>Chloroxylenol 4.8% w/v (Dettol)</t>
  </si>
  <si>
    <t>AGC657</t>
  </si>
  <si>
    <t>Methyl Salicylate solution</t>
  </si>
  <si>
    <t>2404047</t>
  </si>
  <si>
    <t>Multivitamin tab</t>
  </si>
  <si>
    <t>A680310</t>
  </si>
  <si>
    <t>Sala Cider essence</t>
  </si>
  <si>
    <t>2025042509</t>
  </si>
  <si>
    <t>filgrastrim inj</t>
  </si>
  <si>
    <t>AJJ007</t>
  </si>
  <si>
    <t>A680402</t>
  </si>
  <si>
    <t>Oxaliplatin inj.</t>
  </si>
  <si>
    <t>87250234AG</t>
  </si>
  <si>
    <t>Trastuzumab (Herzuma) จ่ายเงิน</t>
  </si>
  <si>
    <t>119C147</t>
  </si>
  <si>
    <t>Methyl prednisolone 1000mg inj</t>
  </si>
  <si>
    <t>1AS24004</t>
  </si>
  <si>
    <t>Calcium folinate inj (Leucoverin)</t>
  </si>
  <si>
    <t>NP25168A</t>
  </si>
  <si>
    <t>Letrozole 2.5 mg สิทธิ์ UC</t>
  </si>
  <si>
    <t>5GJ0359</t>
  </si>
  <si>
    <t>Vitamin B Complex TAB (ยา ED)</t>
  </si>
  <si>
    <t>148196</t>
  </si>
  <si>
    <t>Orange sweet flovour</t>
  </si>
  <si>
    <t>2025071009</t>
  </si>
  <si>
    <t>Methylparaben</t>
  </si>
  <si>
    <t>JG3111</t>
  </si>
  <si>
    <t>87250302AA</t>
  </si>
  <si>
    <t>AJJ011</t>
  </si>
  <si>
    <t xml:space="preserve">Potassium Chloride </t>
  </si>
  <si>
    <t>3424000600</t>
  </si>
  <si>
    <t>Sodium chloride</t>
  </si>
  <si>
    <t>CRS200824</t>
  </si>
  <si>
    <t xml:space="preserve"> 5-Fluorouracil inj.</t>
  </si>
  <si>
    <t>5FL023A</t>
  </si>
  <si>
    <t>Bivasizumab inj สิทธิ์ UC</t>
  </si>
  <si>
    <t>BF24003869</t>
  </si>
  <si>
    <t>Doxorubicin inj.</t>
  </si>
  <si>
    <t>87250383AA</t>
  </si>
  <si>
    <t>Paclitaxel 6mg/ml 50ml (Chemo)</t>
  </si>
  <si>
    <t>87250360AF</t>
  </si>
  <si>
    <t>Pineapple flavour</t>
  </si>
  <si>
    <t>2025092718</t>
  </si>
  <si>
    <t>Tamoxifen citrate 20mg TAB</t>
  </si>
  <si>
    <t>TTMB231052</t>
  </si>
  <si>
    <t>Trastuzumab inj. 440mg (VMI-Chemo)</t>
  </si>
  <si>
    <t>04052052B</t>
  </si>
  <si>
    <t>Gancyclovir 500mg inj</t>
  </si>
  <si>
    <t>141040100</t>
  </si>
  <si>
    <t>AK250771</t>
  </si>
  <si>
    <t>Propylparaben</t>
  </si>
  <si>
    <t>JJ2711</t>
  </si>
  <si>
    <t>BSS 15ml</t>
  </si>
  <si>
    <t>12MJT</t>
  </si>
  <si>
    <t>NP25253A</t>
  </si>
  <si>
    <t>SWI 10ml</t>
  </si>
  <si>
    <t>2T545007</t>
  </si>
  <si>
    <t>Citric acid</t>
  </si>
  <si>
    <t>AA-25010093</t>
  </si>
  <si>
    <t>Glycerin USP</t>
  </si>
  <si>
    <t>289FD100126</t>
  </si>
  <si>
    <t>Cyclophosphamide inj.</t>
  </si>
  <si>
    <t>5B349C</t>
  </si>
  <si>
    <t>Diphenhydramine 50mg tab</t>
  </si>
  <si>
    <t>25B032</t>
  </si>
  <si>
    <t>Peppermint oil</t>
  </si>
  <si>
    <t>2022-0206</t>
  </si>
  <si>
    <t>Diazepam 5mg tab</t>
  </si>
  <si>
    <t>S680025</t>
  </si>
  <si>
    <t>Bevacizumab inj สิทธิ์จ่ายเงิน</t>
  </si>
  <si>
    <t>H7946B02</t>
  </si>
  <si>
    <t>Phenobarbital 60 mg</t>
  </si>
  <si>
    <t>F680318</t>
  </si>
  <si>
    <t>20230426</t>
  </si>
  <si>
    <t>12VW8</t>
  </si>
  <si>
    <t>Chlorhexidine 4% 500ml (Hibi Scrub)</t>
  </si>
  <si>
    <t>25044051</t>
  </si>
  <si>
    <t>Eucalyptus oil</t>
  </si>
  <si>
    <t>C680058</t>
  </si>
  <si>
    <t>Fluconazole inj</t>
  </si>
  <si>
    <t>1115531-1</t>
  </si>
  <si>
    <t>Ethyl alcohol 70% 450ml</t>
  </si>
  <si>
    <t>C680090</t>
  </si>
  <si>
    <t>Acertylcysteine sac</t>
  </si>
  <si>
    <t>6171834</t>
  </si>
  <si>
    <t>242910-0728</t>
  </si>
  <si>
    <t>Metoclopreamide tab</t>
  </si>
  <si>
    <t>1117600-1</t>
  </si>
  <si>
    <t>Propranolol 10mg</t>
  </si>
  <si>
    <t>8219028</t>
  </si>
  <si>
    <t>Dexamethasone 4mg inj</t>
  </si>
  <si>
    <t>968168</t>
  </si>
  <si>
    <t>Sodium bicarbonate</t>
  </si>
  <si>
    <t>20241111</t>
  </si>
  <si>
    <t>25044107</t>
  </si>
  <si>
    <t>Phenytoin 50mg</t>
  </si>
  <si>
    <t>2401015</t>
  </si>
  <si>
    <t>Rifampicin 300mg cap</t>
  </si>
  <si>
    <t>K685117</t>
  </si>
  <si>
    <t>Trichloro Acetic Acid</t>
  </si>
  <si>
    <t>B50174T2405</t>
  </si>
  <si>
    <t>1% Carmosine red</t>
  </si>
  <si>
    <t>RF03240212</t>
  </si>
  <si>
    <t>Propyleneglycol</t>
  </si>
  <si>
    <t>PG20250721</t>
  </si>
  <si>
    <t>Paracetamol 500mg tab</t>
  </si>
  <si>
    <t>25123045</t>
  </si>
  <si>
    <t>Furosemide 40mg TAB</t>
  </si>
  <si>
    <t>1117027-1</t>
  </si>
  <si>
    <t>2401045</t>
  </si>
  <si>
    <t>Oseltamivir 75mg</t>
  </si>
  <si>
    <t>K675349</t>
  </si>
  <si>
    <t>70% Sorbitol</t>
  </si>
  <si>
    <t>S6027</t>
  </si>
  <si>
    <t>Paclitaxel IV Set</t>
  </si>
  <si>
    <t>84516364</t>
  </si>
  <si>
    <t>Ondansetron 8mg TAB (Chemo)</t>
  </si>
  <si>
    <t>1122183-1</t>
  </si>
  <si>
    <t>4A6C103</t>
  </si>
  <si>
    <t>NSS 0.9% 500ml</t>
  </si>
  <si>
    <t>2508236</t>
  </si>
  <si>
    <t>NSS 0.9% 100ml</t>
  </si>
  <si>
    <t>2509110</t>
  </si>
  <si>
    <t>Ondanseton inj.</t>
  </si>
  <si>
    <t>27H097</t>
  </si>
  <si>
    <t>2512171</t>
  </si>
  <si>
    <t>D-5-W 100ml</t>
  </si>
  <si>
    <t>2512271</t>
  </si>
  <si>
    <t>Sterile water for IRRIGATE 1000ml</t>
  </si>
  <si>
    <t>6A74X</t>
  </si>
  <si>
    <t>Bivasizumab inj สิทธิ์จ่ายเงิน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</si>
</sst>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Tahoma"/>
      <scheme val="minor"/>
    </font>
    <font>
      <b/>
      <sz val="11"/>
      <color theme="1"/>
      <name val="Tahoma"/>
    </font>
    <font>
      <b/>
      <sz val="11"/>
      <color theme="1"/>
      <name val="Cambria"/>
    </font>
    <font>
      <b/>
      <sz val="14"/>
      <color theme="1"/>
      <name val="Tahoma"/>
    </font>
    <font>
      <sz val="11"/>
      <color theme="1"/>
      <name val="Tahoma"/>
    </font>
    <font>
      <b/>
      <sz val="14"/>
      <color theme="1"/>
      <name val="TH Sarabun PSK"/>
    </font>
    <font>
      <b/>
      <sz val="7"/>
      <color theme="1"/>
      <name val="Tahoma"/>
    </font>
    <font>
      <b/>
      <sz val="10"/>
      <color theme="1"/>
      <name val="Tahoma"/>
    </font>
    <font>
      <sz val="14"/>
      <color theme="1"/>
      <name val="TH Sarabun PSK"/>
    </font>
    <font>
      <sz val="14"/>
      <color rgb="FF000000"/>
      <name val="TH Sarabun PSK"/>
    </font>
    <font>
      <sz val="14"/>
      <color theme="1"/>
      <name val="Tahoma"/>
    </font>
    <font>
      <sz val="11"/>
      <color theme="1"/>
      <name val="Angsana Ne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left" vertical="center" shrinkToFit="1"/>
    </xf>
    <xf numFmtId="2" fontId="8" fillId="0" borderId="0" xfId="0" applyNumberFormat="1" applyFont="1" applyAlignment="1">
      <alignment vertical="center"/>
    </xf>
    <xf numFmtId="4" fontId="8" fillId="0" borderId="0" xfId="0" applyNumberFormat="1" applyFont="1" applyAlignment="1">
      <alignment vertical="center"/>
    </xf>
    <xf numFmtId="0" fontId="8" fillId="0" borderId="0" xfId="0" applyFont="1" applyAlignment="1">
      <alignment horizontal="left" vertical="center" shrinkToFit="1"/>
    </xf>
    <xf numFmtId="4" fontId="8" fillId="0" borderId="0" xfId="0" applyNumberFormat="1" applyFont="1"/>
    <xf numFmtId="0" fontId="8" fillId="0" borderId="0" xfId="0" applyFont="1" applyAlignment="1">
      <alignment horizontal="left" vertical="center"/>
    </xf>
    <xf numFmtId="0" fontId="10" fillId="0" borderId="0" xfId="0" applyFont="1"/>
    <xf numFmtId="0" fontId="9" fillId="0" borderId="0" xfId="0" applyFont="1" applyAlignment="1">
      <alignment vertical="center" shrinkToFit="1"/>
    </xf>
    <xf numFmtId="0" fontId="4" fillId="0" borderId="0" xfId="0" applyFont="1" applyAlignment="1">
      <alignment horizontal="center" vertical="center"/>
    </xf>
    <xf numFmtId="0" fontId="1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Tahoma"/>
        <a:ea typeface="Tahoma"/>
        <a:cs typeface="Tahoma"/>
      </a:majorFont>
      <a:minorFont>
        <a:latin typeface="Tahoma"/>
        <a:ea typeface="Tahoma"/>
        <a:cs typeface="Taho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abSelected="1" topLeftCell="C1" workbookViewId="0">
      <pane ySplit="1" topLeftCell="A82" activePane="bottomLeft" state="frozen"/>
      <selection pane="bottomLeft" activeCell="J97" sqref="J97"/>
    </sheetView>
  </sheetViews>
  <sheetFormatPr defaultColWidth="12.59765625" defaultRowHeight="15" customHeight="1"/>
  <cols>
    <col min="1" max="1" width="10" customWidth="1"/>
    <col min="2" max="2" width="40" customWidth="1"/>
    <col min="3" max="3" width="18" customWidth="1"/>
    <col min="4" max="4" width="14" customWidth="1"/>
    <col min="5" max="5" width="10" customWidth="1"/>
    <col min="6" max="6" width="12" customWidth="1"/>
    <col min="7" max="8" width="14" customWidth="1"/>
    <col min="9" max="9" width="12" customWidth="1"/>
    <col min="10" max="10" width="22.5" customWidth="1"/>
    <col min="11" max="11" width="11.69921875" customWidth="1"/>
    <col min="12" max="12" width="8.59765625" customWidth="1"/>
    <col min="13" max="13" width="10.8984375" customWidth="1"/>
    <col min="14" max="29" width="8.59765625" customWidth="1"/>
  </cols>
  <sheetData>
    <row r="1" spans="1:29" ht="16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/>
      <c r="M1" s="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29" ht="16.5" customHeight="1">
      <c r="A2" s="5">
        <v>76783</v>
      </c>
      <c r="B2" s="5" t="s">
        <v>11</v>
      </c>
      <c r="C2" s="5" t="s">
        <v>12</v>
      </c>
      <c r="D2" s="6">
        <v>46041</v>
      </c>
      <c r="E2" s="5">
        <v>0</v>
      </c>
      <c r="F2" s="5">
        <v>695.5</v>
      </c>
      <c r="G2" s="5">
        <f t="shared" ref="G2:G95" si="0">E2*F2</f>
        <v>0</v>
      </c>
      <c r="H2" s="5" t="s">
        <v>13</v>
      </c>
      <c r="I2" s="5">
        <f t="shared" ref="I2:I95" ca="1" si="1">D2-(TODAY())</f>
        <v>-63</v>
      </c>
      <c r="J2" s="5" t="s">
        <v>14</v>
      </c>
      <c r="K2" s="6">
        <v>46104</v>
      </c>
    </row>
    <row r="3" spans="1:29" ht="16.5" customHeight="1">
      <c r="A3" s="5">
        <v>131171</v>
      </c>
      <c r="B3" s="5" t="s">
        <v>15</v>
      </c>
      <c r="C3" s="5" t="s">
        <v>16</v>
      </c>
      <c r="D3" s="6">
        <v>46052</v>
      </c>
      <c r="E3" s="5">
        <v>0</v>
      </c>
      <c r="G3" s="5">
        <f t="shared" si="0"/>
        <v>0</v>
      </c>
      <c r="H3" s="5" t="s">
        <v>13</v>
      </c>
      <c r="I3" s="5">
        <f t="shared" ca="1" si="1"/>
        <v>-52</v>
      </c>
      <c r="J3" s="5" t="s">
        <v>14</v>
      </c>
      <c r="K3" s="6">
        <v>46104</v>
      </c>
    </row>
    <row r="4" spans="1:29" ht="16.5" customHeight="1">
      <c r="A4" s="5">
        <v>81218</v>
      </c>
      <c r="B4" s="5" t="s">
        <v>17</v>
      </c>
      <c r="C4" s="5" t="s">
        <v>18</v>
      </c>
      <c r="D4" s="6">
        <v>46085</v>
      </c>
      <c r="E4" s="5">
        <v>0</v>
      </c>
      <c r="F4" s="5">
        <v>475</v>
      </c>
      <c r="G4" s="5">
        <f t="shared" si="0"/>
        <v>0</v>
      </c>
      <c r="H4" s="5" t="s">
        <v>13</v>
      </c>
      <c r="I4" s="5">
        <f t="shared" ca="1" si="1"/>
        <v>-19</v>
      </c>
      <c r="J4" s="5" t="s">
        <v>14</v>
      </c>
      <c r="K4" s="6">
        <v>46104</v>
      </c>
    </row>
    <row r="5" spans="1:29" ht="16.5" customHeight="1">
      <c r="A5" s="5">
        <v>92149</v>
      </c>
      <c r="B5" s="5" t="s">
        <v>19</v>
      </c>
      <c r="C5" s="5" t="s">
        <v>20</v>
      </c>
      <c r="D5" s="6">
        <v>46126</v>
      </c>
      <c r="E5" s="5">
        <v>0</v>
      </c>
      <c r="F5" s="5">
        <v>248</v>
      </c>
      <c r="G5" s="5">
        <f t="shared" si="0"/>
        <v>0</v>
      </c>
      <c r="H5" s="5" t="s">
        <v>13</v>
      </c>
      <c r="I5" s="5">
        <f t="shared" ca="1" si="1"/>
        <v>22</v>
      </c>
      <c r="J5" s="5" t="s">
        <v>21</v>
      </c>
      <c r="K5" s="6">
        <v>46104</v>
      </c>
    </row>
    <row r="6" spans="1:29" ht="16.5" customHeight="1">
      <c r="A6" s="5">
        <v>76806</v>
      </c>
      <c r="B6" s="5" t="s">
        <v>22</v>
      </c>
      <c r="C6" s="5" t="s">
        <v>23</v>
      </c>
      <c r="D6" s="6">
        <v>46150</v>
      </c>
      <c r="E6" s="5">
        <v>0</v>
      </c>
      <c r="F6" s="5">
        <v>588.5</v>
      </c>
      <c r="G6" s="5">
        <f t="shared" si="0"/>
        <v>0</v>
      </c>
      <c r="H6" s="5" t="s">
        <v>13</v>
      </c>
      <c r="I6" s="5">
        <f t="shared" ca="1" si="1"/>
        <v>46</v>
      </c>
      <c r="J6" s="5" t="s">
        <v>24</v>
      </c>
      <c r="K6" s="6">
        <v>46104</v>
      </c>
    </row>
    <row r="7" spans="1:29" ht="16.5" customHeight="1">
      <c r="A7" s="5">
        <v>76847</v>
      </c>
      <c r="B7" s="5" t="s">
        <v>25</v>
      </c>
      <c r="C7" s="5" t="s">
        <v>26</v>
      </c>
      <c r="D7" s="6">
        <v>46261</v>
      </c>
      <c r="E7" s="5">
        <v>1</v>
      </c>
      <c r="F7" s="5">
        <v>481.5</v>
      </c>
      <c r="G7" s="5">
        <f t="shared" si="0"/>
        <v>481.5</v>
      </c>
      <c r="H7" s="5" t="s">
        <v>13</v>
      </c>
      <c r="I7" s="5">
        <f t="shared" ca="1" si="1"/>
        <v>157</v>
      </c>
      <c r="J7" s="5"/>
    </row>
    <row r="8" spans="1:29" ht="16.5" customHeight="1">
      <c r="A8" s="5">
        <v>98679</v>
      </c>
      <c r="B8" s="5" t="s">
        <v>27</v>
      </c>
      <c r="C8" s="5" t="s">
        <v>28</v>
      </c>
      <c r="D8" s="6">
        <v>46264</v>
      </c>
      <c r="E8" s="5">
        <v>390</v>
      </c>
      <c r="F8" s="5"/>
      <c r="G8" s="5">
        <f t="shared" si="0"/>
        <v>0</v>
      </c>
      <c r="H8" s="5" t="s">
        <v>29</v>
      </c>
      <c r="I8" s="5">
        <f t="shared" ca="1" si="1"/>
        <v>160</v>
      </c>
      <c r="J8" s="5"/>
    </row>
    <row r="9" spans="1:29" ht="16.5" customHeight="1">
      <c r="A9" s="5">
        <v>60032</v>
      </c>
      <c r="B9" s="5" t="s">
        <v>30</v>
      </c>
      <c r="C9" s="5" t="s">
        <v>31</v>
      </c>
      <c r="D9" s="6">
        <v>46296</v>
      </c>
      <c r="E9" s="5">
        <v>5</v>
      </c>
      <c r="F9" s="5"/>
      <c r="G9" s="5">
        <f t="shared" si="0"/>
        <v>0</v>
      </c>
      <c r="H9" s="5" t="s">
        <v>29</v>
      </c>
      <c r="I9" s="5">
        <f t="shared" ca="1" si="1"/>
        <v>192</v>
      </c>
      <c r="J9" s="5"/>
    </row>
    <row r="10" spans="1:29" ht="16.5" customHeight="1">
      <c r="A10" s="5">
        <v>92344</v>
      </c>
      <c r="B10" s="5" t="s">
        <v>32</v>
      </c>
      <c r="C10" s="5" t="s">
        <v>33</v>
      </c>
      <c r="D10" s="6">
        <v>46312</v>
      </c>
      <c r="E10" s="5">
        <v>0</v>
      </c>
      <c r="F10" s="5">
        <v>610</v>
      </c>
      <c r="G10" s="5">
        <f t="shared" si="0"/>
        <v>0</v>
      </c>
      <c r="H10" s="5" t="s">
        <v>13</v>
      </c>
      <c r="I10" s="5">
        <f t="shared" ca="1" si="1"/>
        <v>208</v>
      </c>
      <c r="J10" s="5" t="s">
        <v>34</v>
      </c>
      <c r="K10" s="6">
        <v>46104</v>
      </c>
    </row>
    <row r="11" spans="1:29" ht="16.5" customHeight="1">
      <c r="A11" s="5">
        <v>77176</v>
      </c>
      <c r="B11" s="5" t="s">
        <v>35</v>
      </c>
      <c r="C11" s="5" t="s">
        <v>36</v>
      </c>
      <c r="D11" s="6">
        <v>46326</v>
      </c>
      <c r="E11" s="5">
        <v>1</v>
      </c>
      <c r="F11" s="5">
        <v>963</v>
      </c>
      <c r="G11" s="5">
        <f t="shared" si="0"/>
        <v>963</v>
      </c>
      <c r="H11" s="5" t="s">
        <v>13</v>
      </c>
      <c r="I11" s="5">
        <f t="shared" ca="1" si="1"/>
        <v>222</v>
      </c>
      <c r="J11" s="5"/>
    </row>
    <row r="12" spans="1:29" ht="16.5" customHeight="1">
      <c r="A12" s="5">
        <v>14829</v>
      </c>
      <c r="B12" s="5" t="s">
        <v>37</v>
      </c>
      <c r="C12" s="5" t="s">
        <v>38</v>
      </c>
      <c r="D12" s="6">
        <v>46326</v>
      </c>
      <c r="E12" s="5">
        <v>6</v>
      </c>
      <c r="F12" s="5">
        <v>220</v>
      </c>
      <c r="G12" s="5">
        <f t="shared" si="0"/>
        <v>1320</v>
      </c>
      <c r="H12" s="5" t="s">
        <v>29</v>
      </c>
      <c r="I12" s="5">
        <f t="shared" ca="1" si="1"/>
        <v>222</v>
      </c>
      <c r="J12" s="5"/>
    </row>
    <row r="13" spans="1:29" ht="16.5" customHeight="1">
      <c r="A13" s="5">
        <v>77021</v>
      </c>
      <c r="B13" s="5" t="s">
        <v>39</v>
      </c>
      <c r="C13" s="5" t="s">
        <v>40</v>
      </c>
      <c r="D13" s="6">
        <v>46341</v>
      </c>
      <c r="E13" s="5">
        <v>0</v>
      </c>
      <c r="F13" s="5">
        <v>353.1</v>
      </c>
      <c r="G13" s="5">
        <f t="shared" si="0"/>
        <v>0</v>
      </c>
      <c r="H13" s="5" t="s">
        <v>13</v>
      </c>
      <c r="I13" s="5">
        <f t="shared" ca="1" si="1"/>
        <v>237</v>
      </c>
      <c r="J13" s="5" t="s">
        <v>34</v>
      </c>
      <c r="K13" s="6">
        <v>46104</v>
      </c>
    </row>
    <row r="14" spans="1:29" ht="16.5" customHeight="1">
      <c r="A14" s="5">
        <v>2448</v>
      </c>
      <c r="B14" s="5" t="s">
        <v>41</v>
      </c>
      <c r="C14" s="5" t="s">
        <v>42</v>
      </c>
      <c r="D14" s="6">
        <v>46352</v>
      </c>
      <c r="E14" s="5">
        <v>0</v>
      </c>
      <c r="F14" s="5">
        <v>0.8</v>
      </c>
      <c r="G14" s="5">
        <f t="shared" si="0"/>
        <v>0</v>
      </c>
      <c r="H14" s="5" t="s">
        <v>43</v>
      </c>
      <c r="I14" s="5">
        <f t="shared" ca="1" si="1"/>
        <v>248</v>
      </c>
      <c r="J14" s="5" t="s">
        <v>34</v>
      </c>
      <c r="K14" s="6">
        <v>46104</v>
      </c>
    </row>
    <row r="15" spans="1:29" ht="16.5" customHeight="1">
      <c r="A15" s="5">
        <v>70068</v>
      </c>
      <c r="B15" s="5" t="s">
        <v>44</v>
      </c>
      <c r="C15" s="5" t="s">
        <v>45</v>
      </c>
      <c r="D15" s="6">
        <v>46357</v>
      </c>
      <c r="E15" s="5">
        <v>500</v>
      </c>
      <c r="F15" s="5">
        <v>1</v>
      </c>
      <c r="G15" s="5">
        <f t="shared" si="0"/>
        <v>500</v>
      </c>
      <c r="H15" s="5" t="s">
        <v>29</v>
      </c>
      <c r="I15" s="5">
        <f t="shared" ca="1" si="1"/>
        <v>253</v>
      </c>
      <c r="J15" s="5"/>
    </row>
    <row r="16" spans="1:29" ht="16.5" customHeight="1">
      <c r="A16" s="5">
        <v>81182</v>
      </c>
      <c r="B16" s="5" t="s">
        <v>46</v>
      </c>
      <c r="C16" s="5" t="s">
        <v>47</v>
      </c>
      <c r="D16" s="6">
        <v>46377</v>
      </c>
      <c r="E16" s="5">
        <v>0</v>
      </c>
      <c r="F16" s="5">
        <v>1615.7</v>
      </c>
      <c r="G16" s="5">
        <f t="shared" si="0"/>
        <v>0</v>
      </c>
      <c r="H16" s="5" t="s">
        <v>13</v>
      </c>
      <c r="I16" s="5">
        <f t="shared" ca="1" si="1"/>
        <v>273</v>
      </c>
      <c r="J16" s="5" t="s">
        <v>34</v>
      </c>
      <c r="K16" s="6">
        <v>46104</v>
      </c>
    </row>
    <row r="17" spans="1:11" ht="16.5" customHeight="1">
      <c r="A17" s="5">
        <v>92407</v>
      </c>
      <c r="B17" s="5" t="s">
        <v>48</v>
      </c>
      <c r="C17" s="5" t="s">
        <v>49</v>
      </c>
      <c r="D17" s="6">
        <v>46377</v>
      </c>
      <c r="E17" s="5">
        <v>0</v>
      </c>
      <c r="F17" s="5">
        <v>180</v>
      </c>
      <c r="G17" s="5">
        <f t="shared" si="0"/>
        <v>0</v>
      </c>
      <c r="H17" s="5" t="s">
        <v>13</v>
      </c>
      <c r="I17" s="5">
        <f t="shared" ca="1" si="1"/>
        <v>273</v>
      </c>
      <c r="J17" s="5" t="s">
        <v>34</v>
      </c>
      <c r="K17" s="6">
        <v>46104</v>
      </c>
    </row>
    <row r="18" spans="1:11" ht="16.5" customHeight="1">
      <c r="A18" s="5">
        <v>60032</v>
      </c>
      <c r="B18" s="5" t="s">
        <v>30</v>
      </c>
      <c r="C18" s="5" t="s">
        <v>50</v>
      </c>
      <c r="D18" s="6">
        <v>46388</v>
      </c>
      <c r="E18" s="5">
        <v>8</v>
      </c>
      <c r="F18" s="5"/>
      <c r="G18" s="5">
        <f t="shared" si="0"/>
        <v>0</v>
      </c>
      <c r="H18" s="5" t="s">
        <v>29</v>
      </c>
      <c r="I18" s="5">
        <f t="shared" ca="1" si="1"/>
        <v>284</v>
      </c>
      <c r="J18" s="5"/>
    </row>
    <row r="19" spans="1:11" ht="16.5" customHeight="1">
      <c r="A19" s="5">
        <v>925</v>
      </c>
      <c r="B19" s="5" t="s">
        <v>51</v>
      </c>
      <c r="C19" s="5" t="s">
        <v>52</v>
      </c>
      <c r="D19" s="6">
        <v>46402</v>
      </c>
      <c r="E19" s="5">
        <v>1000</v>
      </c>
      <c r="F19" s="5">
        <v>0.2</v>
      </c>
      <c r="G19" s="5">
        <f t="shared" si="0"/>
        <v>200</v>
      </c>
      <c r="H19" s="5" t="s">
        <v>43</v>
      </c>
      <c r="I19" s="5">
        <f t="shared" ca="1" si="1"/>
        <v>298</v>
      </c>
      <c r="J19" s="5"/>
    </row>
    <row r="20" spans="1:11" ht="16.5" customHeight="1">
      <c r="A20" s="5">
        <v>3950</v>
      </c>
      <c r="B20" s="5" t="s">
        <v>53</v>
      </c>
      <c r="C20" s="5" t="s">
        <v>54</v>
      </c>
      <c r="D20" s="6">
        <v>46407</v>
      </c>
      <c r="E20" s="5">
        <v>0</v>
      </c>
      <c r="F20" s="5">
        <v>0.52</v>
      </c>
      <c r="G20" s="5">
        <f t="shared" si="0"/>
        <v>0</v>
      </c>
      <c r="H20" s="5" t="s">
        <v>43</v>
      </c>
      <c r="I20" s="5">
        <f t="shared" ca="1" si="1"/>
        <v>303</v>
      </c>
      <c r="J20" s="5" t="s">
        <v>34</v>
      </c>
      <c r="K20" s="6">
        <v>46104</v>
      </c>
    </row>
    <row r="21" spans="1:11" ht="16.5" customHeight="1">
      <c r="A21" s="5">
        <v>77195</v>
      </c>
      <c r="B21" s="5" t="s">
        <v>55</v>
      </c>
      <c r="C21" s="5" t="s">
        <v>56</v>
      </c>
      <c r="D21" s="6">
        <v>46418</v>
      </c>
      <c r="E21" s="5">
        <v>1</v>
      </c>
      <c r="F21" s="5">
        <v>385.2</v>
      </c>
      <c r="G21" s="5">
        <f t="shared" si="0"/>
        <v>385.2</v>
      </c>
      <c r="H21" s="5" t="s">
        <v>13</v>
      </c>
      <c r="I21" s="5">
        <f t="shared" ca="1" si="1"/>
        <v>314</v>
      </c>
      <c r="J21" s="5"/>
    </row>
    <row r="22" spans="1:11" ht="16.5" customHeight="1">
      <c r="A22" s="5">
        <v>77153</v>
      </c>
      <c r="B22" s="5" t="s">
        <v>57</v>
      </c>
      <c r="C22" s="5" t="s">
        <v>58</v>
      </c>
      <c r="D22" s="6">
        <v>46441</v>
      </c>
      <c r="E22" s="5">
        <v>1</v>
      </c>
      <c r="F22" s="5">
        <v>374.5</v>
      </c>
      <c r="G22" s="5">
        <f t="shared" si="0"/>
        <v>374.5</v>
      </c>
      <c r="H22" s="5" t="s">
        <v>13</v>
      </c>
      <c r="I22" s="5">
        <f t="shared" ca="1" si="1"/>
        <v>337</v>
      </c>
      <c r="J22" s="5"/>
    </row>
    <row r="23" spans="1:11" ht="16.5" customHeight="1">
      <c r="A23" s="5">
        <v>91128</v>
      </c>
      <c r="B23" s="5" t="s">
        <v>59</v>
      </c>
      <c r="C23" s="5" t="s">
        <v>60</v>
      </c>
      <c r="D23" s="6">
        <v>46445</v>
      </c>
      <c r="E23" s="5">
        <v>0</v>
      </c>
      <c r="G23" s="5">
        <f t="shared" si="0"/>
        <v>0</v>
      </c>
      <c r="H23" s="5" t="s">
        <v>43</v>
      </c>
      <c r="I23" s="5">
        <f t="shared" ca="1" si="1"/>
        <v>341</v>
      </c>
      <c r="J23" s="5" t="s">
        <v>34</v>
      </c>
      <c r="K23" s="6">
        <v>46104</v>
      </c>
    </row>
    <row r="24" spans="1:11" ht="16.5" customHeight="1">
      <c r="A24" s="5">
        <v>76765</v>
      </c>
      <c r="B24" s="5" t="s">
        <v>61</v>
      </c>
      <c r="C24" s="5" t="s">
        <v>62</v>
      </c>
      <c r="D24" s="6">
        <v>46477</v>
      </c>
      <c r="E24" s="5">
        <v>0</v>
      </c>
      <c r="F24" s="5">
        <v>2568</v>
      </c>
      <c r="G24" s="5">
        <f t="shared" si="0"/>
        <v>0</v>
      </c>
      <c r="H24" s="5" t="s">
        <v>13</v>
      </c>
      <c r="I24" s="5">
        <f t="shared" ca="1" si="1"/>
        <v>373</v>
      </c>
      <c r="J24" s="5" t="s">
        <v>34</v>
      </c>
      <c r="K24" s="6">
        <v>46104</v>
      </c>
    </row>
    <row r="25" spans="1:11" ht="16.5" customHeight="1">
      <c r="A25" s="5">
        <v>76796</v>
      </c>
      <c r="B25" s="5" t="s">
        <v>63</v>
      </c>
      <c r="C25" s="5" t="s">
        <v>64</v>
      </c>
      <c r="D25" s="6">
        <v>46495</v>
      </c>
      <c r="E25" s="5">
        <v>0</v>
      </c>
      <c r="F25" s="5">
        <v>160.5</v>
      </c>
      <c r="G25" s="5">
        <f t="shared" si="0"/>
        <v>0</v>
      </c>
      <c r="H25" s="5" t="s">
        <v>13</v>
      </c>
      <c r="I25" s="5">
        <f t="shared" ca="1" si="1"/>
        <v>391</v>
      </c>
      <c r="J25" s="5" t="s">
        <v>34</v>
      </c>
      <c r="K25" s="6">
        <v>46104</v>
      </c>
    </row>
    <row r="26" spans="1:11" ht="16.5" customHeight="1">
      <c r="A26" s="5">
        <v>70</v>
      </c>
      <c r="B26" s="5" t="s">
        <v>65</v>
      </c>
      <c r="C26" s="5" t="s">
        <v>66</v>
      </c>
      <c r="D26" s="6">
        <v>46499</v>
      </c>
      <c r="E26" s="5">
        <v>1000</v>
      </c>
      <c r="F26" s="5"/>
      <c r="G26" s="5">
        <f t="shared" si="0"/>
        <v>0</v>
      </c>
      <c r="H26" s="5" t="s">
        <v>29</v>
      </c>
      <c r="I26" s="5">
        <f t="shared" ca="1" si="1"/>
        <v>395</v>
      </c>
      <c r="J26" s="5"/>
    </row>
    <row r="27" spans="1:11" ht="16.5" customHeight="1">
      <c r="A27" s="5">
        <v>92371</v>
      </c>
      <c r="B27" s="5" t="s">
        <v>67</v>
      </c>
      <c r="C27" s="5" t="s">
        <v>68</v>
      </c>
      <c r="D27" s="6">
        <v>46501</v>
      </c>
      <c r="E27" s="5">
        <v>1</v>
      </c>
      <c r="F27" s="5">
        <v>565</v>
      </c>
      <c r="G27" s="5">
        <f t="shared" si="0"/>
        <v>565</v>
      </c>
      <c r="H27" s="5" t="s">
        <v>13</v>
      </c>
      <c r="I27" s="5">
        <f t="shared" ca="1" si="1"/>
        <v>397</v>
      </c>
      <c r="J27" s="5"/>
    </row>
    <row r="28" spans="1:11" ht="16.5" customHeight="1">
      <c r="A28" s="5">
        <v>33073</v>
      </c>
      <c r="B28" s="5" t="s">
        <v>69</v>
      </c>
      <c r="C28" s="5" t="s">
        <v>70</v>
      </c>
      <c r="D28" s="6">
        <v>46502</v>
      </c>
      <c r="E28" s="5">
        <v>12</v>
      </c>
      <c r="F28" s="5">
        <v>379.85</v>
      </c>
      <c r="G28" s="5">
        <f t="shared" si="0"/>
        <v>4558.2000000000007</v>
      </c>
      <c r="H28" s="5" t="s">
        <v>29</v>
      </c>
      <c r="I28" s="5">
        <f t="shared" ca="1" si="1"/>
        <v>398</v>
      </c>
      <c r="J28" s="5"/>
    </row>
    <row r="29" spans="1:11" ht="16.5" customHeight="1">
      <c r="A29" s="5">
        <v>70</v>
      </c>
      <c r="B29" s="5" t="s">
        <v>65</v>
      </c>
      <c r="C29" s="5" t="s">
        <v>71</v>
      </c>
      <c r="D29" s="6">
        <v>46535</v>
      </c>
      <c r="E29" s="5">
        <v>2000</v>
      </c>
      <c r="F29" s="5"/>
      <c r="G29" s="5">
        <f t="shared" si="0"/>
        <v>0</v>
      </c>
      <c r="H29" s="5" t="s">
        <v>29</v>
      </c>
      <c r="I29" s="5">
        <f t="shared" ca="1" si="1"/>
        <v>431</v>
      </c>
      <c r="J29" s="5"/>
    </row>
    <row r="30" spans="1:11" ht="16.5" customHeight="1">
      <c r="A30" s="5">
        <v>65332</v>
      </c>
      <c r="B30" s="5" t="s">
        <v>72</v>
      </c>
      <c r="C30" s="5" t="s">
        <v>73</v>
      </c>
      <c r="D30" s="6">
        <v>46538</v>
      </c>
      <c r="E30" s="5">
        <v>1</v>
      </c>
      <c r="F30" s="5">
        <v>941.6</v>
      </c>
      <c r="G30" s="5">
        <f t="shared" si="0"/>
        <v>941.6</v>
      </c>
      <c r="H30" s="5" t="s">
        <v>29</v>
      </c>
      <c r="I30" s="5">
        <f t="shared" ca="1" si="1"/>
        <v>434</v>
      </c>
      <c r="J30" s="5"/>
    </row>
    <row r="31" spans="1:11" ht="16.5" customHeight="1">
      <c r="A31" s="5">
        <v>74574</v>
      </c>
      <c r="B31" s="5" t="s">
        <v>74</v>
      </c>
      <c r="C31" s="5" t="s">
        <v>75</v>
      </c>
      <c r="D31" s="6">
        <v>46538</v>
      </c>
      <c r="E31" s="5">
        <v>0</v>
      </c>
      <c r="F31" s="5">
        <v>8560</v>
      </c>
      <c r="G31" s="5">
        <f t="shared" si="0"/>
        <v>0</v>
      </c>
      <c r="H31" s="5" t="s">
        <v>29</v>
      </c>
      <c r="I31" s="5">
        <f t="shared" ca="1" si="1"/>
        <v>434</v>
      </c>
      <c r="J31" s="5"/>
    </row>
    <row r="32" spans="1:11" ht="16.5" customHeight="1">
      <c r="A32" s="5">
        <v>57459</v>
      </c>
      <c r="B32" s="5" t="s">
        <v>76</v>
      </c>
      <c r="C32" s="5" t="s">
        <v>77</v>
      </c>
      <c r="D32" s="6">
        <v>46568</v>
      </c>
      <c r="E32" s="5">
        <v>10</v>
      </c>
      <c r="F32" s="5"/>
      <c r="G32" s="5">
        <f t="shared" si="0"/>
        <v>0</v>
      </c>
      <c r="H32" s="5" t="s">
        <v>43</v>
      </c>
      <c r="I32" s="5">
        <f t="shared" ca="1" si="1"/>
        <v>464</v>
      </c>
      <c r="J32" s="5"/>
    </row>
    <row r="33" spans="1:11" ht="16.5" customHeight="1">
      <c r="A33" s="5">
        <v>58180</v>
      </c>
      <c r="B33" s="5" t="s">
        <v>78</v>
      </c>
      <c r="C33" s="5" t="s">
        <v>79</v>
      </c>
      <c r="D33" s="6">
        <v>46568</v>
      </c>
      <c r="E33" s="5">
        <v>2</v>
      </c>
      <c r="F33" s="5">
        <v>256</v>
      </c>
      <c r="G33" s="5">
        <f t="shared" si="0"/>
        <v>512</v>
      </c>
      <c r="H33" s="5" t="s">
        <v>29</v>
      </c>
      <c r="I33" s="5">
        <f t="shared" ca="1" si="1"/>
        <v>464</v>
      </c>
      <c r="J33" s="5"/>
    </row>
    <row r="34" spans="1:11" ht="16.5" customHeight="1">
      <c r="A34" s="5">
        <v>59707</v>
      </c>
      <c r="B34" s="5" t="s">
        <v>80</v>
      </c>
      <c r="C34" s="5" t="s">
        <v>81</v>
      </c>
      <c r="D34" s="6">
        <v>46568</v>
      </c>
      <c r="E34" s="5">
        <v>270</v>
      </c>
      <c r="F34" s="5">
        <v>15.871700000000001</v>
      </c>
      <c r="G34" s="5">
        <f t="shared" si="0"/>
        <v>4285.3590000000004</v>
      </c>
      <c r="H34" s="5" t="s">
        <v>29</v>
      </c>
      <c r="I34" s="5">
        <f t="shared" ca="1" si="1"/>
        <v>464</v>
      </c>
      <c r="J34" s="5"/>
    </row>
    <row r="35" spans="1:11" ht="16.5" customHeight="1">
      <c r="A35" s="5">
        <v>129325</v>
      </c>
      <c r="B35" s="5" t="s">
        <v>82</v>
      </c>
      <c r="C35" s="5" t="s">
        <v>83</v>
      </c>
      <c r="D35" s="6">
        <v>46568</v>
      </c>
      <c r="E35" s="5">
        <v>1000</v>
      </c>
      <c r="F35" s="5"/>
      <c r="G35" s="5">
        <f t="shared" si="0"/>
        <v>0</v>
      </c>
      <c r="H35" s="5" t="s">
        <v>29</v>
      </c>
      <c r="I35" s="5">
        <f t="shared" ca="1" si="1"/>
        <v>464</v>
      </c>
      <c r="J35" s="5"/>
    </row>
    <row r="36" spans="1:11" ht="16.5" customHeight="1">
      <c r="A36" s="5">
        <v>81256</v>
      </c>
      <c r="B36" s="5" t="s">
        <v>84</v>
      </c>
      <c r="C36" s="5" t="s">
        <v>85</v>
      </c>
      <c r="D36" s="6">
        <v>46577</v>
      </c>
      <c r="E36" s="5">
        <v>1</v>
      </c>
      <c r="F36" s="5">
        <v>601.34</v>
      </c>
      <c r="G36" s="5">
        <f t="shared" si="0"/>
        <v>601.34</v>
      </c>
      <c r="H36" s="5" t="s">
        <v>13</v>
      </c>
      <c r="I36" s="5">
        <f t="shared" ca="1" si="1"/>
        <v>473</v>
      </c>
      <c r="J36" s="5"/>
    </row>
    <row r="37" spans="1:11" ht="16.5" customHeight="1">
      <c r="A37" s="5">
        <v>77045</v>
      </c>
      <c r="B37" s="5" t="s">
        <v>86</v>
      </c>
      <c r="C37" s="5" t="s">
        <v>87</v>
      </c>
      <c r="D37" s="6">
        <v>46598</v>
      </c>
      <c r="E37" s="5">
        <v>0</v>
      </c>
      <c r="F37" s="5">
        <v>275</v>
      </c>
      <c r="G37" s="5">
        <f t="shared" si="0"/>
        <v>0</v>
      </c>
      <c r="H37" s="5" t="s">
        <v>13</v>
      </c>
      <c r="I37" s="5">
        <f t="shared" ca="1" si="1"/>
        <v>494</v>
      </c>
      <c r="J37" s="5" t="s">
        <v>34</v>
      </c>
      <c r="K37" s="6">
        <v>46104</v>
      </c>
    </row>
    <row r="38" spans="1:11" ht="16.5" customHeight="1">
      <c r="A38" s="5">
        <v>65332</v>
      </c>
      <c r="B38" s="5" t="s">
        <v>72</v>
      </c>
      <c r="C38" s="5" t="s">
        <v>88</v>
      </c>
      <c r="D38" s="6">
        <v>46599</v>
      </c>
      <c r="E38" s="5">
        <v>3</v>
      </c>
      <c r="F38" s="5">
        <v>941.6</v>
      </c>
      <c r="G38" s="5">
        <f t="shared" si="0"/>
        <v>2824.8</v>
      </c>
      <c r="H38" s="5" t="s">
        <v>29</v>
      </c>
      <c r="I38" s="5">
        <f t="shared" ca="1" si="1"/>
        <v>495</v>
      </c>
      <c r="J38" s="5"/>
    </row>
    <row r="39" spans="1:11" ht="16.5" customHeight="1">
      <c r="A39" s="5">
        <v>33073</v>
      </c>
      <c r="B39" s="5" t="s">
        <v>69</v>
      </c>
      <c r="C39" s="5" t="s">
        <v>89</v>
      </c>
      <c r="D39" s="6">
        <v>46604</v>
      </c>
      <c r="E39" s="5">
        <v>10</v>
      </c>
      <c r="F39" s="5">
        <v>379.85</v>
      </c>
      <c r="G39" s="5">
        <f t="shared" si="0"/>
        <v>3798.5</v>
      </c>
      <c r="H39" s="5" t="s">
        <v>29</v>
      </c>
      <c r="I39" s="5">
        <f t="shared" ca="1" si="1"/>
        <v>500</v>
      </c>
      <c r="J39" s="5"/>
    </row>
    <row r="40" spans="1:11" ht="16.5" customHeight="1">
      <c r="A40" s="5">
        <v>92196</v>
      </c>
      <c r="B40" s="5" t="s">
        <v>90</v>
      </c>
      <c r="C40" s="5" t="s">
        <v>91</v>
      </c>
      <c r="D40" s="6">
        <v>46618</v>
      </c>
      <c r="E40" s="5">
        <v>16</v>
      </c>
      <c r="F40" s="5">
        <v>86</v>
      </c>
      <c r="G40" s="5">
        <f t="shared" si="0"/>
        <v>1376</v>
      </c>
      <c r="H40" s="5" t="s">
        <v>13</v>
      </c>
      <c r="I40" s="5">
        <f t="shared" ca="1" si="1"/>
        <v>514</v>
      </c>
      <c r="J40" s="5"/>
    </row>
    <row r="41" spans="1:11" ht="16.5" customHeight="1">
      <c r="A41" s="5">
        <v>76913</v>
      </c>
      <c r="B41" s="5" t="s">
        <v>92</v>
      </c>
      <c r="C41" s="5" t="s">
        <v>93</v>
      </c>
      <c r="D41" s="6">
        <v>46619</v>
      </c>
      <c r="E41" s="5">
        <v>7</v>
      </c>
      <c r="F41" s="5">
        <v>64.2</v>
      </c>
      <c r="G41" s="5">
        <f t="shared" si="0"/>
        <v>449.40000000000003</v>
      </c>
      <c r="H41" s="5" t="s">
        <v>13</v>
      </c>
      <c r="I41" s="5">
        <f t="shared" ca="1" si="1"/>
        <v>515</v>
      </c>
      <c r="J41" s="5"/>
    </row>
    <row r="42" spans="1:11" ht="16.5" customHeight="1">
      <c r="A42" s="5">
        <v>58373</v>
      </c>
      <c r="B42" s="5" t="s">
        <v>94</v>
      </c>
      <c r="C42" s="5" t="s">
        <v>95</v>
      </c>
      <c r="D42" s="6">
        <v>46630</v>
      </c>
      <c r="E42" s="5">
        <v>29</v>
      </c>
      <c r="F42" s="5">
        <v>146.59</v>
      </c>
      <c r="G42" s="5">
        <f t="shared" si="0"/>
        <v>4251.1099999999997</v>
      </c>
      <c r="H42" s="5" t="s">
        <v>29</v>
      </c>
      <c r="I42" s="5">
        <f t="shared" ca="1" si="1"/>
        <v>526</v>
      </c>
      <c r="J42" s="5"/>
    </row>
    <row r="43" spans="1:11" ht="16.5" customHeight="1">
      <c r="A43" s="5">
        <v>75404</v>
      </c>
      <c r="B43" s="5" t="s">
        <v>96</v>
      </c>
      <c r="C43" s="5" t="s">
        <v>97</v>
      </c>
      <c r="D43" s="6">
        <v>46630</v>
      </c>
      <c r="E43" s="5">
        <v>1</v>
      </c>
      <c r="F43" s="5">
        <v>1952.51</v>
      </c>
      <c r="G43" s="5">
        <f t="shared" si="0"/>
        <v>1952.51</v>
      </c>
      <c r="H43" s="5" t="s">
        <v>29</v>
      </c>
      <c r="I43" s="5">
        <f t="shared" ca="1" si="1"/>
        <v>526</v>
      </c>
      <c r="J43" s="5"/>
    </row>
    <row r="44" spans="1:11" ht="16.5" customHeight="1">
      <c r="A44" s="5">
        <v>58409</v>
      </c>
      <c r="B44" s="5" t="s">
        <v>98</v>
      </c>
      <c r="C44" s="5" t="s">
        <v>99</v>
      </c>
      <c r="D44" s="6">
        <v>46630</v>
      </c>
      <c r="E44" s="5">
        <v>10</v>
      </c>
      <c r="F44" s="5">
        <v>267.5</v>
      </c>
      <c r="G44" s="5">
        <f t="shared" si="0"/>
        <v>2675</v>
      </c>
      <c r="H44" s="5" t="s">
        <v>29</v>
      </c>
      <c r="I44" s="5">
        <f t="shared" ca="1" si="1"/>
        <v>526</v>
      </c>
      <c r="J44" s="5"/>
    </row>
    <row r="45" spans="1:11" ht="16.5" customHeight="1">
      <c r="A45" s="5">
        <v>58292</v>
      </c>
      <c r="B45" s="5" t="s">
        <v>100</v>
      </c>
      <c r="C45" s="5" t="s">
        <v>101</v>
      </c>
      <c r="D45" s="6">
        <v>46630</v>
      </c>
      <c r="E45" s="5">
        <v>5</v>
      </c>
      <c r="F45" s="5"/>
      <c r="G45" s="5">
        <f t="shared" si="0"/>
        <v>0</v>
      </c>
      <c r="H45" s="5" t="s">
        <v>29</v>
      </c>
      <c r="I45" s="5">
        <f t="shared" ca="1" si="1"/>
        <v>526</v>
      </c>
      <c r="J45" s="5"/>
    </row>
    <row r="46" spans="1:11" ht="16.5" customHeight="1">
      <c r="A46" s="5">
        <v>81315</v>
      </c>
      <c r="B46" s="5" t="s">
        <v>102</v>
      </c>
      <c r="C46" s="5" t="s">
        <v>103</v>
      </c>
      <c r="D46" s="6">
        <v>46656</v>
      </c>
      <c r="E46" s="5">
        <v>3</v>
      </c>
      <c r="F46" s="5">
        <v>579</v>
      </c>
      <c r="G46" s="5">
        <f t="shared" si="0"/>
        <v>1737</v>
      </c>
      <c r="H46" s="5" t="s">
        <v>13</v>
      </c>
      <c r="I46" s="5">
        <f t="shared" ca="1" si="1"/>
        <v>552</v>
      </c>
      <c r="J46" s="5"/>
    </row>
    <row r="47" spans="1:11" ht="16.5" customHeight="1">
      <c r="A47" s="5">
        <v>109607</v>
      </c>
      <c r="B47" s="5" t="s">
        <v>104</v>
      </c>
      <c r="C47" s="5" t="s">
        <v>105</v>
      </c>
      <c r="D47" s="6">
        <v>46660</v>
      </c>
      <c r="E47" s="5">
        <v>200</v>
      </c>
      <c r="F47" s="5"/>
      <c r="G47" s="5">
        <f t="shared" si="0"/>
        <v>0</v>
      </c>
      <c r="H47" s="5" t="s">
        <v>29</v>
      </c>
      <c r="I47" s="5">
        <f t="shared" ca="1" si="1"/>
        <v>556</v>
      </c>
      <c r="J47" s="5"/>
    </row>
    <row r="48" spans="1:11" ht="16.5" customHeight="1">
      <c r="A48" s="5">
        <v>62750</v>
      </c>
      <c r="B48" s="5" t="s">
        <v>106</v>
      </c>
      <c r="C48" s="5" t="s">
        <v>107</v>
      </c>
      <c r="D48" s="6">
        <v>46660</v>
      </c>
      <c r="E48" s="5">
        <v>1</v>
      </c>
      <c r="F48" s="5"/>
      <c r="G48" s="5">
        <f t="shared" si="0"/>
        <v>0</v>
      </c>
      <c r="H48" s="5" t="s">
        <v>29</v>
      </c>
      <c r="I48" s="5">
        <f t="shared" ca="1" si="1"/>
        <v>556</v>
      </c>
      <c r="J48" s="5"/>
    </row>
    <row r="49" spans="1:11" ht="16.5" customHeight="1">
      <c r="A49" s="5">
        <v>102780</v>
      </c>
      <c r="B49" s="5" t="s">
        <v>108</v>
      </c>
      <c r="C49" s="5" t="s">
        <v>109</v>
      </c>
      <c r="D49" s="6">
        <v>46666</v>
      </c>
      <c r="E49" s="5">
        <v>6</v>
      </c>
      <c r="F49" s="5"/>
      <c r="G49" s="5">
        <f t="shared" si="0"/>
        <v>0</v>
      </c>
      <c r="H49" s="5" t="s">
        <v>29</v>
      </c>
      <c r="I49" s="5">
        <f t="shared" ca="1" si="1"/>
        <v>562</v>
      </c>
      <c r="J49" s="5"/>
    </row>
    <row r="50" spans="1:11" ht="16.5" customHeight="1">
      <c r="A50" s="5">
        <v>129325</v>
      </c>
      <c r="B50" s="5" t="s">
        <v>82</v>
      </c>
      <c r="C50" s="5" t="s">
        <v>110</v>
      </c>
      <c r="D50" s="6">
        <v>46685</v>
      </c>
      <c r="E50" s="5">
        <v>2000</v>
      </c>
      <c r="F50" s="5"/>
      <c r="G50" s="5">
        <f t="shared" si="0"/>
        <v>0</v>
      </c>
      <c r="H50" s="5" t="s">
        <v>29</v>
      </c>
      <c r="I50" s="5">
        <f t="shared" ca="1" si="1"/>
        <v>581</v>
      </c>
      <c r="J50" s="5"/>
    </row>
    <row r="51" spans="1:11" ht="16.5" customHeight="1">
      <c r="A51" s="5">
        <v>77066</v>
      </c>
      <c r="B51" s="5" t="s">
        <v>111</v>
      </c>
      <c r="C51" s="5" t="s">
        <v>112</v>
      </c>
      <c r="D51" s="6">
        <v>46686</v>
      </c>
      <c r="E51" s="5">
        <v>1</v>
      </c>
      <c r="F51" s="5">
        <v>428</v>
      </c>
      <c r="G51" s="5">
        <f t="shared" si="0"/>
        <v>428</v>
      </c>
      <c r="H51" s="5" t="s">
        <v>13</v>
      </c>
      <c r="I51" s="5">
        <f t="shared" ca="1" si="1"/>
        <v>582</v>
      </c>
      <c r="J51" s="5"/>
    </row>
    <row r="52" spans="1:11" ht="16.5" customHeight="1">
      <c r="A52" s="5">
        <v>4197</v>
      </c>
      <c r="B52" s="5" t="s">
        <v>113</v>
      </c>
      <c r="C52" s="5" t="s">
        <v>114</v>
      </c>
      <c r="D52" s="6">
        <v>46691</v>
      </c>
      <c r="E52" s="5">
        <v>36</v>
      </c>
      <c r="F52" s="5"/>
      <c r="G52" s="5">
        <f t="shared" si="0"/>
        <v>0</v>
      </c>
      <c r="H52" s="5" t="s">
        <v>43</v>
      </c>
      <c r="I52" s="5">
        <f t="shared" ca="1" si="1"/>
        <v>587</v>
      </c>
      <c r="J52" s="5"/>
    </row>
    <row r="53" spans="1:11" ht="16.5" customHeight="1">
      <c r="A53" s="5">
        <v>58180</v>
      </c>
      <c r="B53" s="5" t="s">
        <v>78</v>
      </c>
      <c r="C53" s="5" t="s">
        <v>115</v>
      </c>
      <c r="D53" s="6">
        <v>46691</v>
      </c>
      <c r="E53" s="5">
        <v>10</v>
      </c>
      <c r="F53" s="5">
        <v>256</v>
      </c>
      <c r="G53" s="5">
        <f t="shared" si="0"/>
        <v>2560</v>
      </c>
      <c r="H53" s="5" t="s">
        <v>29</v>
      </c>
      <c r="I53" s="5">
        <f t="shared" ca="1" si="1"/>
        <v>587</v>
      </c>
      <c r="J53" s="5"/>
    </row>
    <row r="54" spans="1:11" ht="16.5" customHeight="1">
      <c r="A54" s="5">
        <v>215</v>
      </c>
      <c r="B54" s="5" t="s">
        <v>116</v>
      </c>
      <c r="C54" s="5" t="s">
        <v>117</v>
      </c>
      <c r="D54" s="6">
        <v>46752</v>
      </c>
      <c r="E54" s="5">
        <v>0</v>
      </c>
      <c r="G54" s="5">
        <f t="shared" si="0"/>
        <v>0</v>
      </c>
      <c r="H54" s="5" t="s">
        <v>29</v>
      </c>
      <c r="I54" s="5">
        <f t="shared" ca="1" si="1"/>
        <v>648</v>
      </c>
      <c r="J54" s="5" t="s">
        <v>34</v>
      </c>
      <c r="K54" s="6">
        <v>46104</v>
      </c>
    </row>
    <row r="55" spans="1:11" ht="16.5" customHeight="1">
      <c r="A55" s="5">
        <v>77130</v>
      </c>
      <c r="B55" s="5" t="s">
        <v>118</v>
      </c>
      <c r="C55" s="5" t="s">
        <v>119</v>
      </c>
      <c r="D55" s="6">
        <v>46765</v>
      </c>
      <c r="E55" s="5">
        <v>7</v>
      </c>
      <c r="F55" s="5">
        <v>139.1</v>
      </c>
      <c r="G55" s="5">
        <f t="shared" si="0"/>
        <v>973.69999999999993</v>
      </c>
      <c r="H55" s="5" t="s">
        <v>13</v>
      </c>
      <c r="I55" s="5">
        <f t="shared" ca="1" si="1"/>
        <v>661</v>
      </c>
      <c r="J55" s="5"/>
    </row>
    <row r="56" spans="1:11" ht="16.5" customHeight="1">
      <c r="A56" s="5">
        <v>77107</v>
      </c>
      <c r="B56" s="5" t="s">
        <v>120</v>
      </c>
      <c r="C56" s="5" t="s">
        <v>121</v>
      </c>
      <c r="D56" s="6">
        <v>46771</v>
      </c>
      <c r="E56" s="5">
        <v>5</v>
      </c>
      <c r="F56" s="5">
        <v>642</v>
      </c>
      <c r="G56" s="5">
        <f t="shared" si="0"/>
        <v>3210</v>
      </c>
      <c r="H56" s="5" t="s">
        <v>13</v>
      </c>
      <c r="I56" s="5">
        <f t="shared" ca="1" si="1"/>
        <v>667</v>
      </c>
      <c r="J56" s="5"/>
    </row>
    <row r="57" spans="1:11" ht="16.5" customHeight="1">
      <c r="A57" s="5">
        <v>58575</v>
      </c>
      <c r="B57" s="5" t="s">
        <v>122</v>
      </c>
      <c r="C57" s="5" t="s">
        <v>123</v>
      </c>
      <c r="D57" s="6">
        <v>46783</v>
      </c>
      <c r="E57" s="5">
        <v>14</v>
      </c>
      <c r="F57" s="5">
        <v>422.65</v>
      </c>
      <c r="G57" s="5">
        <f t="shared" si="0"/>
        <v>5917.0999999999995</v>
      </c>
      <c r="H57" s="5" t="s">
        <v>29</v>
      </c>
      <c r="I57" s="5">
        <f t="shared" ca="1" si="1"/>
        <v>679</v>
      </c>
      <c r="J57" s="5"/>
    </row>
    <row r="58" spans="1:11" ht="16.5" customHeight="1">
      <c r="A58" s="5">
        <v>69739</v>
      </c>
      <c r="B58" s="5" t="s">
        <v>124</v>
      </c>
      <c r="C58" s="5" t="s">
        <v>125</v>
      </c>
      <c r="D58" s="6">
        <v>46789</v>
      </c>
      <c r="E58" s="5">
        <v>80</v>
      </c>
      <c r="F58" s="5"/>
      <c r="G58" s="5">
        <f t="shared" si="0"/>
        <v>0</v>
      </c>
      <c r="H58" s="5" t="s">
        <v>29</v>
      </c>
      <c r="I58" s="5">
        <f t="shared" ca="1" si="1"/>
        <v>685</v>
      </c>
      <c r="J58" s="5"/>
    </row>
    <row r="59" spans="1:11" ht="16.5" customHeight="1">
      <c r="A59" s="5">
        <v>76984</v>
      </c>
      <c r="B59" s="5" t="s">
        <v>126</v>
      </c>
      <c r="C59" s="5" t="s">
        <v>127</v>
      </c>
      <c r="D59" s="6">
        <v>46798</v>
      </c>
      <c r="E59" s="5">
        <v>0</v>
      </c>
      <c r="F59" s="5">
        <v>856</v>
      </c>
      <c r="G59" s="5">
        <f t="shared" si="0"/>
        <v>0</v>
      </c>
      <c r="H59" s="5" t="s">
        <v>13</v>
      </c>
      <c r="I59" s="5">
        <f t="shared" ca="1" si="1"/>
        <v>694</v>
      </c>
      <c r="J59" s="5" t="s">
        <v>34</v>
      </c>
      <c r="K59" s="6">
        <v>46104</v>
      </c>
    </row>
    <row r="60" spans="1:11" ht="16.5" customHeight="1">
      <c r="A60" s="5">
        <v>5122</v>
      </c>
      <c r="B60" s="5" t="s">
        <v>128</v>
      </c>
      <c r="C60" s="5" t="s">
        <v>129</v>
      </c>
      <c r="D60" s="6">
        <v>46815</v>
      </c>
      <c r="E60" s="5">
        <v>0</v>
      </c>
      <c r="F60" s="5">
        <v>0.24610000000000001</v>
      </c>
      <c r="G60" s="5">
        <f t="shared" si="0"/>
        <v>0</v>
      </c>
      <c r="H60" s="5" t="s">
        <v>43</v>
      </c>
      <c r="I60" s="5">
        <f t="shared" ca="1" si="1"/>
        <v>711</v>
      </c>
      <c r="J60" s="5" t="s">
        <v>34</v>
      </c>
      <c r="K60" s="6">
        <v>46104</v>
      </c>
    </row>
    <row r="61" spans="1:11" ht="16.5" customHeight="1">
      <c r="A61" s="5">
        <v>74590</v>
      </c>
      <c r="B61" s="5" t="s">
        <v>130</v>
      </c>
      <c r="C61" s="5" t="s">
        <v>131</v>
      </c>
      <c r="D61" s="6">
        <v>46843</v>
      </c>
      <c r="E61" s="5">
        <v>1</v>
      </c>
      <c r="F61" s="5">
        <v>7003.15</v>
      </c>
      <c r="G61" s="5">
        <f t="shared" si="0"/>
        <v>7003.15</v>
      </c>
      <c r="H61" s="5" t="s">
        <v>29</v>
      </c>
      <c r="I61" s="5">
        <f t="shared" ca="1" si="1"/>
        <v>739</v>
      </c>
      <c r="J61" s="5"/>
    </row>
    <row r="62" spans="1:11" ht="16.5" customHeight="1">
      <c r="A62" s="5">
        <v>9914</v>
      </c>
      <c r="B62" s="5" t="s">
        <v>132</v>
      </c>
      <c r="C62" s="5" t="s">
        <v>133</v>
      </c>
      <c r="D62" s="6">
        <v>46861</v>
      </c>
      <c r="E62" s="5">
        <v>1000</v>
      </c>
      <c r="F62" s="5">
        <v>0.2782</v>
      </c>
      <c r="G62" s="5">
        <f t="shared" si="0"/>
        <v>278.2</v>
      </c>
      <c r="H62" s="5" t="s">
        <v>43</v>
      </c>
      <c r="I62" s="5">
        <f t="shared" ca="1" si="1"/>
        <v>757</v>
      </c>
      <c r="J62" s="5"/>
    </row>
    <row r="63" spans="1:11" ht="16.5" customHeight="1">
      <c r="A63" s="5">
        <v>77045</v>
      </c>
      <c r="B63" s="5" t="s">
        <v>86</v>
      </c>
      <c r="C63" s="5" t="s">
        <v>134</v>
      </c>
      <c r="D63" s="6">
        <v>46869</v>
      </c>
      <c r="E63" s="5">
        <v>0</v>
      </c>
      <c r="F63" s="5">
        <v>374.5</v>
      </c>
      <c r="G63" s="5">
        <f t="shared" si="0"/>
        <v>0</v>
      </c>
      <c r="H63" s="5" t="s">
        <v>13</v>
      </c>
      <c r="I63" s="5">
        <f t="shared" ca="1" si="1"/>
        <v>765</v>
      </c>
      <c r="J63" s="5" t="s">
        <v>34</v>
      </c>
      <c r="K63" s="6">
        <v>46104</v>
      </c>
    </row>
    <row r="64" spans="1:11" ht="16.5" customHeight="1">
      <c r="A64" s="5">
        <v>4197</v>
      </c>
      <c r="B64" s="5" t="s">
        <v>113</v>
      </c>
      <c r="C64" s="5" t="s">
        <v>135</v>
      </c>
      <c r="D64" s="6">
        <v>46873</v>
      </c>
      <c r="E64" s="5">
        <v>12</v>
      </c>
      <c r="F64" s="5"/>
      <c r="G64" s="5">
        <f t="shared" si="0"/>
        <v>0</v>
      </c>
      <c r="H64" s="5" t="s">
        <v>43</v>
      </c>
      <c r="I64" s="5">
        <f t="shared" ca="1" si="1"/>
        <v>769</v>
      </c>
      <c r="J64" s="5"/>
    </row>
    <row r="65" spans="1:11" ht="16.5" customHeight="1">
      <c r="A65" s="5">
        <v>129114</v>
      </c>
      <c r="B65" s="5" t="s">
        <v>136</v>
      </c>
      <c r="C65" s="5" t="s">
        <v>137</v>
      </c>
      <c r="D65" s="6">
        <v>46881</v>
      </c>
      <c r="E65" s="5">
        <v>1</v>
      </c>
      <c r="F65" s="5"/>
      <c r="G65" s="5">
        <f t="shared" si="0"/>
        <v>0</v>
      </c>
      <c r="H65" s="5" t="s">
        <v>29</v>
      </c>
      <c r="I65" s="5">
        <f t="shared" ca="1" si="1"/>
        <v>777</v>
      </c>
      <c r="J65" s="5"/>
    </row>
    <row r="66" spans="1:11" ht="16.5" customHeight="1">
      <c r="A66" s="5">
        <v>77009</v>
      </c>
      <c r="B66" s="5" t="s">
        <v>138</v>
      </c>
      <c r="C66" s="5" t="s">
        <v>139</v>
      </c>
      <c r="D66" s="6">
        <v>46895</v>
      </c>
      <c r="E66" s="5">
        <v>0</v>
      </c>
      <c r="F66" s="5">
        <v>600</v>
      </c>
      <c r="G66" s="5">
        <f t="shared" si="0"/>
        <v>0</v>
      </c>
      <c r="H66" s="5" t="s">
        <v>13</v>
      </c>
      <c r="I66" s="5">
        <f t="shared" ca="1" si="1"/>
        <v>791</v>
      </c>
      <c r="J66" s="5" t="s">
        <v>34</v>
      </c>
      <c r="K66" s="6">
        <v>46104</v>
      </c>
    </row>
    <row r="67" spans="1:11" ht="16.5" customHeight="1">
      <c r="A67" s="5">
        <v>98520</v>
      </c>
      <c r="B67" s="5" t="s">
        <v>140</v>
      </c>
      <c r="C67" s="5" t="s">
        <v>141</v>
      </c>
      <c r="D67" s="6">
        <v>46921</v>
      </c>
      <c r="E67" s="5">
        <v>3</v>
      </c>
      <c r="F67" s="5"/>
      <c r="G67" s="5">
        <f t="shared" si="0"/>
        <v>0</v>
      </c>
      <c r="H67" s="5" t="s">
        <v>43</v>
      </c>
      <c r="I67" s="5">
        <f t="shared" ca="1" si="1"/>
        <v>817</v>
      </c>
      <c r="J67" s="5"/>
    </row>
    <row r="68" spans="1:11" ht="16.5" customHeight="1">
      <c r="A68" s="5">
        <v>5259</v>
      </c>
      <c r="B68" s="5" t="s">
        <v>142</v>
      </c>
      <c r="C68" s="5" t="s">
        <v>143</v>
      </c>
      <c r="D68" s="6">
        <v>46929</v>
      </c>
      <c r="E68" s="5">
        <v>27</v>
      </c>
      <c r="F68" s="5"/>
      <c r="G68" s="5">
        <f t="shared" si="0"/>
        <v>0</v>
      </c>
      <c r="H68" s="5" t="s">
        <v>43</v>
      </c>
      <c r="I68" s="5">
        <f t="shared" ca="1" si="1"/>
        <v>825</v>
      </c>
      <c r="J68" s="5"/>
    </row>
    <row r="69" spans="1:11" ht="16.5" customHeight="1">
      <c r="A69" s="5">
        <v>10088</v>
      </c>
      <c r="B69" s="5" t="s">
        <v>144</v>
      </c>
      <c r="C69" s="5" t="s">
        <v>145</v>
      </c>
      <c r="D69" s="6">
        <v>46950</v>
      </c>
      <c r="E69" s="5">
        <v>60</v>
      </c>
      <c r="F69" s="5"/>
      <c r="G69" s="5">
        <f t="shared" si="0"/>
        <v>0</v>
      </c>
      <c r="H69" s="5" t="s">
        <v>29</v>
      </c>
      <c r="I69" s="5">
        <f t="shared" ca="1" si="1"/>
        <v>846</v>
      </c>
      <c r="J69" s="5"/>
    </row>
    <row r="70" spans="1:11" ht="16.5" customHeight="1">
      <c r="A70" s="5">
        <v>77195</v>
      </c>
      <c r="B70" s="5" t="s">
        <v>55</v>
      </c>
      <c r="C70" s="5" t="s">
        <v>146</v>
      </c>
      <c r="D70" s="6">
        <v>46965</v>
      </c>
      <c r="E70" s="5">
        <v>1</v>
      </c>
      <c r="F70" s="5">
        <v>385.2</v>
      </c>
      <c r="G70" s="5">
        <f t="shared" si="0"/>
        <v>385.2</v>
      </c>
      <c r="H70" s="5" t="s">
        <v>13</v>
      </c>
      <c r="I70" s="5">
        <f t="shared" ca="1" si="1"/>
        <v>861</v>
      </c>
      <c r="J70" s="5"/>
    </row>
    <row r="71" spans="1:11" ht="16.5" customHeight="1">
      <c r="A71" s="5">
        <v>3913</v>
      </c>
      <c r="B71" s="5" t="s">
        <v>147</v>
      </c>
      <c r="C71" s="5" t="s">
        <v>148</v>
      </c>
      <c r="D71" s="6">
        <v>46985</v>
      </c>
      <c r="E71" s="5">
        <v>500</v>
      </c>
      <c r="G71" s="5">
        <f t="shared" si="0"/>
        <v>0</v>
      </c>
      <c r="H71" s="5" t="s">
        <v>29</v>
      </c>
      <c r="I71" s="5">
        <f t="shared" ca="1" si="1"/>
        <v>881</v>
      </c>
      <c r="J71" s="5"/>
    </row>
    <row r="72" spans="1:11" ht="16.5" customHeight="1">
      <c r="A72" s="5">
        <v>2407</v>
      </c>
      <c r="B72" s="5" t="s">
        <v>149</v>
      </c>
      <c r="C72" s="5" t="s">
        <v>150</v>
      </c>
      <c r="D72" s="6">
        <v>46986</v>
      </c>
      <c r="E72" s="5">
        <v>1000</v>
      </c>
      <c r="F72" s="5">
        <v>0.22</v>
      </c>
      <c r="G72" s="5">
        <f t="shared" si="0"/>
        <v>220</v>
      </c>
      <c r="H72" s="5" t="s">
        <v>43</v>
      </c>
      <c r="I72" s="5">
        <f t="shared" ca="1" si="1"/>
        <v>882</v>
      </c>
      <c r="J72" s="5"/>
    </row>
    <row r="73" spans="1:11" ht="16.5" customHeight="1">
      <c r="A73" s="5">
        <v>4598</v>
      </c>
      <c r="B73" s="5" t="s">
        <v>151</v>
      </c>
      <c r="C73" s="5" t="s">
        <v>152</v>
      </c>
      <c r="D73" s="6">
        <v>47043</v>
      </c>
      <c r="E73" s="5">
        <v>90</v>
      </c>
      <c r="F73" s="5">
        <v>3.8</v>
      </c>
      <c r="G73" s="5">
        <f t="shared" si="0"/>
        <v>342</v>
      </c>
      <c r="H73" s="5" t="s">
        <v>29</v>
      </c>
      <c r="I73" s="5">
        <f t="shared" ca="1" si="1"/>
        <v>939</v>
      </c>
      <c r="J73" s="5"/>
    </row>
    <row r="74" spans="1:11" ht="16.5" customHeight="1">
      <c r="A74" s="5">
        <v>81287</v>
      </c>
      <c r="B74" s="5" t="s">
        <v>153</v>
      </c>
      <c r="C74" s="5" t="s">
        <v>154</v>
      </c>
      <c r="D74" s="6">
        <v>47068</v>
      </c>
      <c r="E74" s="5">
        <v>1</v>
      </c>
      <c r="F74" s="5">
        <v>38</v>
      </c>
      <c r="G74" s="5">
        <f t="shared" si="0"/>
        <v>38</v>
      </c>
      <c r="H74" s="5" t="s">
        <v>13</v>
      </c>
      <c r="I74" s="5">
        <f t="shared" ca="1" si="1"/>
        <v>964</v>
      </c>
      <c r="J74" s="5"/>
    </row>
    <row r="75" spans="1:11" ht="16.5" customHeight="1">
      <c r="A75" s="5">
        <v>129114</v>
      </c>
      <c r="B75" s="5" t="s">
        <v>136</v>
      </c>
      <c r="C75" s="5" t="s">
        <v>155</v>
      </c>
      <c r="D75" s="6">
        <v>47069</v>
      </c>
      <c r="E75" s="5">
        <v>2</v>
      </c>
      <c r="F75" s="5"/>
      <c r="G75" s="5">
        <f t="shared" si="0"/>
        <v>0</v>
      </c>
      <c r="H75" s="5" t="s">
        <v>29</v>
      </c>
      <c r="I75" s="5">
        <f t="shared" ca="1" si="1"/>
        <v>965</v>
      </c>
      <c r="J75" s="5"/>
    </row>
    <row r="76" spans="1:11" ht="16.5" customHeight="1">
      <c r="A76" s="5">
        <v>9967</v>
      </c>
      <c r="B76" s="5" t="s">
        <v>156</v>
      </c>
      <c r="C76" s="5" t="s">
        <v>157</v>
      </c>
      <c r="D76" s="6">
        <v>47195</v>
      </c>
      <c r="E76" s="5">
        <v>250</v>
      </c>
      <c r="F76" s="5">
        <v>2.5893999999999999</v>
      </c>
      <c r="G76" s="5">
        <f t="shared" si="0"/>
        <v>647.35</v>
      </c>
      <c r="H76" s="5" t="s">
        <v>43</v>
      </c>
      <c r="I76" s="5">
        <f t="shared" ca="1" si="1"/>
        <v>1091</v>
      </c>
      <c r="J76" s="5"/>
    </row>
    <row r="77" spans="1:11" ht="16.5" customHeight="1">
      <c r="A77" s="5">
        <v>103292</v>
      </c>
      <c r="B77" s="5" t="s">
        <v>158</v>
      </c>
      <c r="C77" s="5" t="s">
        <v>159</v>
      </c>
      <c r="D77" s="6">
        <v>47233</v>
      </c>
      <c r="E77" s="5">
        <v>100</v>
      </c>
      <c r="F77" s="5"/>
      <c r="G77" s="5">
        <f t="shared" si="0"/>
        <v>0</v>
      </c>
      <c r="H77" s="5" t="s">
        <v>43</v>
      </c>
      <c r="I77" s="5">
        <f t="shared" ca="1" si="1"/>
        <v>1129</v>
      </c>
      <c r="J77" s="5"/>
    </row>
    <row r="78" spans="1:11" ht="16.5" customHeight="1">
      <c r="A78" s="5">
        <v>92274</v>
      </c>
      <c r="B78" s="5" t="s">
        <v>160</v>
      </c>
      <c r="C78" s="5" t="s">
        <v>161</v>
      </c>
      <c r="D78" s="6">
        <v>47238</v>
      </c>
      <c r="E78" s="5">
        <v>1</v>
      </c>
      <c r="F78" s="5">
        <v>2325</v>
      </c>
      <c r="G78" s="5">
        <f t="shared" si="0"/>
        <v>2325</v>
      </c>
      <c r="H78" s="5" t="s">
        <v>13</v>
      </c>
      <c r="I78" s="5">
        <f t="shared" ca="1" si="1"/>
        <v>1134</v>
      </c>
      <c r="J78" s="5"/>
    </row>
    <row r="79" spans="1:11" ht="16.5" customHeight="1">
      <c r="A79" s="5">
        <v>76932</v>
      </c>
      <c r="B79" s="5" t="s">
        <v>162</v>
      </c>
      <c r="C79" s="5" t="s">
        <v>163</v>
      </c>
      <c r="D79" s="6">
        <v>47253</v>
      </c>
      <c r="E79" s="5">
        <v>0</v>
      </c>
      <c r="F79" s="5">
        <v>1016.5</v>
      </c>
      <c r="G79" s="5">
        <f t="shared" si="0"/>
        <v>0</v>
      </c>
      <c r="H79" s="5" t="s">
        <v>13</v>
      </c>
      <c r="I79" s="5">
        <f t="shared" ca="1" si="1"/>
        <v>1149</v>
      </c>
      <c r="J79" s="5" t="s">
        <v>34</v>
      </c>
      <c r="K79" s="6">
        <v>46104</v>
      </c>
    </row>
    <row r="80" spans="1:11" ht="16.5" customHeight="1">
      <c r="A80" s="5">
        <v>77084</v>
      </c>
      <c r="B80" s="5" t="s">
        <v>164</v>
      </c>
      <c r="C80" s="5" t="s">
        <v>165</v>
      </c>
      <c r="D80" s="6">
        <v>47320</v>
      </c>
      <c r="E80" s="5">
        <v>1</v>
      </c>
      <c r="F80" s="5">
        <v>963</v>
      </c>
      <c r="G80" s="5">
        <f t="shared" si="0"/>
        <v>963</v>
      </c>
      <c r="H80" s="5" t="s">
        <v>13</v>
      </c>
      <c r="I80" s="5">
        <f t="shared" ca="1" si="1"/>
        <v>1216</v>
      </c>
      <c r="J80" s="5"/>
    </row>
    <row r="81" spans="1:11" ht="16.5" customHeight="1">
      <c r="A81" s="5">
        <v>9807</v>
      </c>
      <c r="B81" s="5" t="s">
        <v>166</v>
      </c>
      <c r="C81" s="5" t="s">
        <v>167</v>
      </c>
      <c r="D81" s="6">
        <v>47327</v>
      </c>
      <c r="E81" s="5">
        <v>0</v>
      </c>
      <c r="G81" s="5">
        <f t="shared" si="0"/>
        <v>0</v>
      </c>
      <c r="H81" s="5" t="s">
        <v>29</v>
      </c>
      <c r="I81" s="5">
        <f t="shared" ca="1" si="1"/>
        <v>1223</v>
      </c>
      <c r="J81" s="5"/>
    </row>
    <row r="82" spans="1:11" ht="16.5" customHeight="1">
      <c r="A82" s="5">
        <v>1493</v>
      </c>
      <c r="B82" s="5" t="s">
        <v>168</v>
      </c>
      <c r="C82" s="5" t="s">
        <v>169</v>
      </c>
      <c r="D82" s="6">
        <v>47334</v>
      </c>
      <c r="E82" s="5">
        <v>1000</v>
      </c>
      <c r="F82" s="5"/>
      <c r="G82" s="5">
        <f t="shared" si="0"/>
        <v>0</v>
      </c>
      <c r="H82" s="5" t="s">
        <v>43</v>
      </c>
      <c r="I82" s="5">
        <f t="shared" ca="1" si="1"/>
        <v>1230</v>
      </c>
      <c r="J82" s="5"/>
    </row>
    <row r="83" spans="1:11" ht="16.5" customHeight="1">
      <c r="A83" s="5">
        <v>9967</v>
      </c>
      <c r="B83" s="5" t="s">
        <v>156</v>
      </c>
      <c r="C83" s="5" t="s">
        <v>170</v>
      </c>
      <c r="D83" s="6">
        <v>47359</v>
      </c>
      <c r="E83" s="5">
        <v>750</v>
      </c>
      <c r="F83" s="5">
        <v>2.5893999999999999</v>
      </c>
      <c r="G83" s="5">
        <f t="shared" si="0"/>
        <v>1942.05</v>
      </c>
      <c r="H83" s="5" t="s">
        <v>43</v>
      </c>
      <c r="I83" s="5">
        <f t="shared" ca="1" si="1"/>
        <v>1255</v>
      </c>
      <c r="J83" s="5"/>
    </row>
    <row r="84" spans="1:11" ht="16.5" customHeight="1">
      <c r="A84" s="5">
        <v>1116</v>
      </c>
      <c r="B84" s="5" t="s">
        <v>171</v>
      </c>
      <c r="C84" s="5" t="s">
        <v>172</v>
      </c>
      <c r="D84" s="6">
        <v>47399</v>
      </c>
      <c r="E84" s="5">
        <v>500</v>
      </c>
      <c r="F84" s="5">
        <v>25</v>
      </c>
      <c r="G84" s="5">
        <f t="shared" si="0"/>
        <v>12500</v>
      </c>
      <c r="H84" s="5" t="s">
        <v>43</v>
      </c>
      <c r="I84" s="5">
        <f t="shared" ca="1" si="1"/>
        <v>1295</v>
      </c>
      <c r="J84" s="5"/>
    </row>
    <row r="85" spans="1:11" ht="16.5" customHeight="1">
      <c r="A85" s="5">
        <v>77111</v>
      </c>
      <c r="B85" s="5" t="s">
        <v>173</v>
      </c>
      <c r="C85" s="5" t="s">
        <v>174</v>
      </c>
      <c r="D85" s="6">
        <v>47437</v>
      </c>
      <c r="E85" s="5">
        <v>1</v>
      </c>
      <c r="F85" s="5"/>
      <c r="G85" s="5">
        <f t="shared" si="0"/>
        <v>0</v>
      </c>
      <c r="H85" s="5" t="s">
        <v>13</v>
      </c>
      <c r="I85" s="5">
        <f t="shared" ca="1" si="1"/>
        <v>1333</v>
      </c>
      <c r="J85" s="5"/>
    </row>
    <row r="86" spans="1:11" ht="16.5" customHeight="1">
      <c r="A86" s="5">
        <v>7111</v>
      </c>
      <c r="B86" s="5" t="s">
        <v>173</v>
      </c>
      <c r="C86" s="5" t="s">
        <v>174</v>
      </c>
      <c r="D86" s="6">
        <v>47437</v>
      </c>
      <c r="E86" s="5">
        <v>1</v>
      </c>
      <c r="F86" s="5">
        <v>428</v>
      </c>
      <c r="G86" s="5">
        <f t="shared" si="0"/>
        <v>428</v>
      </c>
      <c r="H86" s="5" t="s">
        <v>13</v>
      </c>
      <c r="I86" s="5">
        <f t="shared" ca="1" si="1"/>
        <v>1333</v>
      </c>
      <c r="J86" s="5"/>
    </row>
    <row r="87" spans="1:11" ht="16.5" customHeight="1">
      <c r="A87" s="5">
        <v>58341</v>
      </c>
      <c r="B87" s="5" t="s">
        <v>175</v>
      </c>
      <c r="C87" s="5" t="s">
        <v>176</v>
      </c>
      <c r="D87" s="6">
        <v>47472</v>
      </c>
      <c r="E87" s="5">
        <v>0</v>
      </c>
      <c r="F87" s="5">
        <v>567.1</v>
      </c>
      <c r="G87" s="5">
        <f t="shared" si="0"/>
        <v>0</v>
      </c>
      <c r="H87" s="5" t="s">
        <v>29</v>
      </c>
      <c r="I87" s="5">
        <f t="shared" ca="1" si="1"/>
        <v>1368</v>
      </c>
      <c r="J87" s="5" t="s">
        <v>34</v>
      </c>
      <c r="K87" s="6">
        <v>46104</v>
      </c>
    </row>
    <row r="88" spans="1:11" ht="16.5" customHeight="1">
      <c r="A88" s="5">
        <v>58244</v>
      </c>
      <c r="B88" s="5" t="s">
        <v>177</v>
      </c>
      <c r="C88" s="5" t="s">
        <v>178</v>
      </c>
      <c r="D88" s="6">
        <v>47511</v>
      </c>
      <c r="E88" s="5">
        <v>300</v>
      </c>
      <c r="F88" s="5"/>
      <c r="G88" s="5">
        <f t="shared" si="0"/>
        <v>0</v>
      </c>
      <c r="H88" s="5" t="s">
        <v>29</v>
      </c>
      <c r="I88" s="5">
        <f t="shared" ca="1" si="1"/>
        <v>1407</v>
      </c>
      <c r="J88" s="5"/>
    </row>
    <row r="89" spans="1:11" ht="16.5" customHeight="1">
      <c r="A89" s="5">
        <v>62750</v>
      </c>
      <c r="B89" s="5" t="s">
        <v>106</v>
      </c>
      <c r="C89" s="5" t="s">
        <v>179</v>
      </c>
      <c r="D89" s="6">
        <v>47566</v>
      </c>
      <c r="E89" s="5">
        <v>2</v>
      </c>
      <c r="F89" s="5"/>
      <c r="G89" s="5">
        <f t="shared" si="0"/>
        <v>0</v>
      </c>
      <c r="H89" s="5" t="s">
        <v>29</v>
      </c>
      <c r="I89" s="5">
        <f t="shared" ca="1" si="1"/>
        <v>1462</v>
      </c>
      <c r="J89" s="5"/>
    </row>
    <row r="90" spans="1:11" ht="16.5" customHeight="1">
      <c r="A90" s="5">
        <v>150</v>
      </c>
      <c r="B90" s="5" t="s">
        <v>180</v>
      </c>
      <c r="C90" s="5" t="s">
        <v>181</v>
      </c>
      <c r="D90" s="6">
        <v>47714</v>
      </c>
      <c r="E90" s="5">
        <v>0</v>
      </c>
      <c r="G90" s="5">
        <f t="shared" si="0"/>
        <v>0</v>
      </c>
      <c r="H90" s="5" t="s">
        <v>29</v>
      </c>
      <c r="I90" s="5">
        <f t="shared" ca="1" si="1"/>
        <v>1610</v>
      </c>
      <c r="J90" s="5" t="s">
        <v>34</v>
      </c>
      <c r="K90" s="6">
        <v>46104</v>
      </c>
    </row>
    <row r="91" spans="1:11" ht="16.5" customHeight="1">
      <c r="A91" s="5">
        <v>7091</v>
      </c>
      <c r="B91" s="5" t="s">
        <v>182</v>
      </c>
      <c r="C91" s="5" t="s">
        <v>183</v>
      </c>
      <c r="D91" s="6">
        <v>47735</v>
      </c>
      <c r="E91" s="5">
        <v>0</v>
      </c>
      <c r="G91" s="5">
        <f t="shared" si="0"/>
        <v>0</v>
      </c>
      <c r="H91" s="5" t="s">
        <v>29</v>
      </c>
      <c r="I91" s="5">
        <f t="shared" ca="1" si="1"/>
        <v>1631</v>
      </c>
      <c r="J91" s="5" t="s">
        <v>34</v>
      </c>
      <c r="K91" s="6">
        <v>46104</v>
      </c>
    </row>
    <row r="92" spans="1:11" ht="16.5" customHeight="1">
      <c r="A92" s="5">
        <v>9797</v>
      </c>
      <c r="B92" s="5" t="s">
        <v>184</v>
      </c>
      <c r="C92" s="5" t="s">
        <v>185</v>
      </c>
      <c r="D92" s="6">
        <v>47756</v>
      </c>
      <c r="E92" s="5">
        <v>60</v>
      </c>
      <c r="F92" s="5">
        <v>10.7</v>
      </c>
      <c r="G92" s="5">
        <f t="shared" si="0"/>
        <v>642</v>
      </c>
      <c r="H92" s="5" t="s">
        <v>29</v>
      </c>
      <c r="I92" s="5">
        <f t="shared" ca="1" si="1"/>
        <v>1652</v>
      </c>
      <c r="J92" s="5"/>
    </row>
    <row r="93" spans="1:11" ht="16.5" customHeight="1">
      <c r="A93" s="5">
        <v>145</v>
      </c>
      <c r="B93" s="5" t="s">
        <v>182</v>
      </c>
      <c r="C93" s="5" t="s">
        <v>186</v>
      </c>
      <c r="D93" s="6">
        <v>47832</v>
      </c>
      <c r="E93" s="5">
        <v>40</v>
      </c>
      <c r="F93" s="5"/>
      <c r="G93" s="5">
        <f t="shared" si="0"/>
        <v>0</v>
      </c>
      <c r="H93" s="5" t="s">
        <v>29</v>
      </c>
      <c r="I93" s="5">
        <f t="shared" ca="1" si="1"/>
        <v>1728</v>
      </c>
      <c r="J93" s="5"/>
    </row>
    <row r="94" spans="1:11" ht="16.5" customHeight="1">
      <c r="A94" s="5">
        <v>1866</v>
      </c>
      <c r="B94" s="5" t="s">
        <v>187</v>
      </c>
      <c r="C94" s="5" t="s">
        <v>188</v>
      </c>
      <c r="D94" s="6">
        <v>47840</v>
      </c>
      <c r="E94" s="5">
        <v>86</v>
      </c>
      <c r="F94" s="5"/>
      <c r="G94" s="5">
        <f t="shared" si="0"/>
        <v>0</v>
      </c>
      <c r="H94" s="5" t="s">
        <v>29</v>
      </c>
      <c r="I94" s="5">
        <f t="shared" ca="1" si="1"/>
        <v>1736</v>
      </c>
      <c r="J94" s="5"/>
    </row>
    <row r="95" spans="1:11" ht="16.5" customHeight="1">
      <c r="A95" s="5">
        <v>204</v>
      </c>
      <c r="B95" s="5" t="s">
        <v>189</v>
      </c>
      <c r="C95" s="5" t="s">
        <v>190</v>
      </c>
      <c r="D95" s="6">
        <v>47853</v>
      </c>
      <c r="E95" s="5">
        <v>20</v>
      </c>
      <c r="F95" s="5"/>
      <c r="G95" s="5">
        <f t="shared" si="0"/>
        <v>0</v>
      </c>
      <c r="H95" s="5" t="s">
        <v>43</v>
      </c>
      <c r="I95" s="5">
        <f t="shared" ca="1" si="1"/>
        <v>1749</v>
      </c>
      <c r="J95" s="5"/>
    </row>
    <row r="96" spans="1:11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 count="4">
    <dataValidation type="custom" allowBlank="1" showDropDown="1" sqref="D6:D9 D11:D12 D15 D18:D19 D21:D22 D26:D30 D32:D35 D38:D53 D55:D58 D61:D62 D64:D65 D67:D70 D72:D78 D80 D82:D85 D88:D89 D92:D95" xr:uid="{00000000-0002-0000-0000-000000000000}">
      <formula1>OR(NOT(ISERROR(DATEVALUE(D6))), AND(ISNUMBER(D6), LEFT(CELL("format", D6))="D"))</formula1>
    </dataValidation>
    <dataValidation type="list" allowBlank="1" sqref="J2:J95" xr:uid="{00000000-0002-0000-0000-000001000000}">
      <formula1>"รอคืน/แลกเปลี่ยนกับบริษัท,นำออกจากShelf แล้ว,นำไปให้หน่วยงานอื่นช่วยใช้แล้ว,รอทำลาย,กำลังเปิดใช้,ขาดตลาด/ติดเครดิต,เฝ้าระวังใกล้หมดอายุ"</formula1>
    </dataValidation>
    <dataValidation type="custom" allowBlank="1" showDropDown="1" sqref="A6:A9 E6:G9 A11:A12 E11:G12 A15 E15:G15 A18:A19 E18:G19 A21:A22 E21:G22 A26:A30 E26:G30 A32:A35 E32:G35 A38:A53 E38:G53 A55:A58 E55:G58 A61:A62 E61:G62 A64:A65 E64:G65 A67:A70 E67:G70 A72:A78 E72:G78 A80 E80:G80 A82:A85 E82:G85 A88:A89 E88:G89 A92:A95 E92:G95" xr:uid="{00000000-0002-0000-0000-000002000000}">
      <formula1>AND(ISNUMBER(A6),(NOT(OR(NOT(ISERROR(DATEVALUE(A6))), AND(ISNUMBER(A6), LEFT(CELL("format", A6))="D")))))</formula1>
    </dataValidation>
    <dataValidation type="list" allowBlank="1" showErrorMessage="1" sqref="H2:H65 H67:H80 H82:H95" xr:uid="{00000000-0002-0000-0000-000003000000}">
      <formula1>"สาร,ยางานเคมี,ยางานผลิต"</formula1>
    </dataValidation>
  </dataValidation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00"/>
  <sheetViews>
    <sheetView workbookViewId="0"/>
  </sheetViews>
  <sheetFormatPr defaultColWidth="12.59765625" defaultRowHeight="15" customHeight="1"/>
  <cols>
    <col min="1" max="1" width="15.8984375" customWidth="1"/>
    <col min="2" max="2" width="37.59765625" customWidth="1"/>
    <col min="3" max="3" width="17.3984375" customWidth="1"/>
    <col min="4" max="4" width="8.59765625" customWidth="1"/>
    <col min="5" max="5" width="10.8984375" customWidth="1"/>
    <col min="6" max="21" width="8.59765625" customWidth="1"/>
  </cols>
  <sheetData>
    <row r="1" spans="1:21" ht="16.5" customHeight="1">
      <c r="A1" s="7" t="s">
        <v>0</v>
      </c>
      <c r="B1" s="7" t="s">
        <v>1</v>
      </c>
      <c r="C1" s="7" t="s">
        <v>5</v>
      </c>
      <c r="D1" s="8"/>
      <c r="E1" s="9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</row>
    <row r="2" spans="1:21" ht="16.5" customHeight="1">
      <c r="A2" s="10">
        <v>76932</v>
      </c>
      <c r="B2" s="11" t="s">
        <v>162</v>
      </c>
      <c r="C2" s="12">
        <v>1016.5</v>
      </c>
    </row>
    <row r="3" spans="1:21" ht="16.5" customHeight="1">
      <c r="A3" s="10">
        <v>58373</v>
      </c>
      <c r="B3" s="13" t="s">
        <v>94</v>
      </c>
      <c r="C3" s="12">
        <v>146.59</v>
      </c>
    </row>
    <row r="4" spans="1:21" ht="16.5" customHeight="1">
      <c r="A4" s="10">
        <v>7111</v>
      </c>
      <c r="B4" s="11" t="s">
        <v>173</v>
      </c>
      <c r="C4" s="12">
        <v>428</v>
      </c>
    </row>
    <row r="5" spans="1:21" ht="16.5" customHeight="1">
      <c r="A5" s="10">
        <v>76806</v>
      </c>
      <c r="B5" s="11" t="s">
        <v>22</v>
      </c>
      <c r="C5" s="12">
        <v>588.5</v>
      </c>
    </row>
    <row r="6" spans="1:21" ht="16.5" customHeight="1">
      <c r="A6" s="10">
        <v>92407</v>
      </c>
      <c r="B6" s="14" t="s">
        <v>48</v>
      </c>
      <c r="C6" s="12">
        <v>180</v>
      </c>
    </row>
    <row r="7" spans="1:21" ht="16.5" customHeight="1">
      <c r="A7" s="10">
        <v>81182</v>
      </c>
      <c r="B7" s="14" t="s">
        <v>46</v>
      </c>
      <c r="C7" s="12">
        <v>1615.7</v>
      </c>
    </row>
    <row r="8" spans="1:21" ht="16.5" customHeight="1">
      <c r="A8" s="10">
        <v>74590</v>
      </c>
      <c r="B8" s="13" t="s">
        <v>191</v>
      </c>
      <c r="C8" s="12">
        <v>7003.15</v>
      </c>
    </row>
    <row r="9" spans="1:21" ht="16.5" customHeight="1">
      <c r="A9" s="10">
        <v>75404</v>
      </c>
      <c r="B9" s="13" t="s">
        <v>96</v>
      </c>
      <c r="C9" s="12">
        <v>1952.51</v>
      </c>
    </row>
    <row r="10" spans="1:21" ht="16.5" customHeight="1">
      <c r="A10" s="10">
        <v>77195</v>
      </c>
      <c r="B10" s="14" t="s">
        <v>55</v>
      </c>
      <c r="C10" s="12">
        <v>385.2</v>
      </c>
    </row>
    <row r="11" spans="1:21" ht="16.5" customHeight="1">
      <c r="A11" s="10">
        <v>58180</v>
      </c>
      <c r="B11" s="13" t="s">
        <v>78</v>
      </c>
      <c r="C11" s="12">
        <v>256</v>
      </c>
    </row>
    <row r="12" spans="1:21" ht="16.5" customHeight="1">
      <c r="A12" s="10">
        <v>92149</v>
      </c>
      <c r="B12" s="14" t="s">
        <v>19</v>
      </c>
      <c r="C12" s="12">
        <v>248</v>
      </c>
    </row>
    <row r="13" spans="1:21" ht="16.5" customHeight="1">
      <c r="A13" s="10">
        <v>76765</v>
      </c>
      <c r="B13" s="11" t="s">
        <v>61</v>
      </c>
      <c r="C13" s="12">
        <v>2568</v>
      </c>
    </row>
    <row r="14" spans="1:21" ht="16.5" customHeight="1">
      <c r="A14" s="10">
        <v>77130</v>
      </c>
      <c r="B14" s="11" t="s">
        <v>118</v>
      </c>
      <c r="C14" s="12">
        <v>139.1</v>
      </c>
    </row>
    <row r="15" spans="1:21" ht="16.5" customHeight="1">
      <c r="A15" s="10">
        <v>77021</v>
      </c>
      <c r="B15" s="14" t="s">
        <v>39</v>
      </c>
      <c r="C15" s="12">
        <v>353.1</v>
      </c>
    </row>
    <row r="16" spans="1:21" ht="16.5" customHeight="1">
      <c r="A16" s="10">
        <v>58575</v>
      </c>
      <c r="B16" s="13" t="s">
        <v>122</v>
      </c>
      <c r="C16" s="12">
        <v>422.65</v>
      </c>
    </row>
    <row r="17" spans="1:21" ht="16.5" customHeight="1">
      <c r="A17" s="10">
        <v>4598</v>
      </c>
      <c r="B17" s="15" t="s">
        <v>151</v>
      </c>
      <c r="C17" s="12">
        <v>3.8</v>
      </c>
    </row>
    <row r="18" spans="1:21" ht="16.5" customHeight="1">
      <c r="A18" s="10">
        <v>5122</v>
      </c>
      <c r="B18" s="16" t="s">
        <v>128</v>
      </c>
      <c r="C18" s="12">
        <v>0.24610000000000001</v>
      </c>
    </row>
    <row r="19" spans="1:21" ht="16.5" customHeight="1">
      <c r="A19" s="10">
        <v>77176</v>
      </c>
      <c r="B19" s="11" t="s">
        <v>35</v>
      </c>
      <c r="C19" s="12">
        <v>963</v>
      </c>
    </row>
    <row r="20" spans="1:21" ht="16.5" customHeight="1">
      <c r="A20" s="10">
        <v>69739</v>
      </c>
      <c r="B20" s="15" t="s">
        <v>124</v>
      </c>
      <c r="C20" s="12"/>
    </row>
    <row r="21" spans="1:21" ht="16.5" customHeight="1">
      <c r="A21" s="10">
        <v>58409</v>
      </c>
      <c r="B21" s="13" t="s">
        <v>98</v>
      </c>
      <c r="C21" s="12">
        <v>267.5</v>
      </c>
    </row>
    <row r="22" spans="1:21" ht="16.5" customHeight="1">
      <c r="A22" s="10">
        <v>77009</v>
      </c>
      <c r="B22" s="14" t="s">
        <v>138</v>
      </c>
      <c r="C22" s="12">
        <v>600</v>
      </c>
    </row>
    <row r="23" spans="1:21" ht="16.5" customHeight="1">
      <c r="A23" s="10">
        <v>70068</v>
      </c>
      <c r="B23" s="13" t="s">
        <v>44</v>
      </c>
      <c r="C23" s="12">
        <v>1</v>
      </c>
    </row>
    <row r="24" spans="1:21" ht="16.5" customHeight="1">
      <c r="A24" s="10">
        <v>33073</v>
      </c>
      <c r="B24" s="13" t="s">
        <v>69</v>
      </c>
      <c r="C24" s="12">
        <v>379.85</v>
      </c>
    </row>
    <row r="25" spans="1:21" ht="16.5" customHeight="1">
      <c r="A25" s="10">
        <v>98520</v>
      </c>
      <c r="B25" s="11" t="s">
        <v>140</v>
      </c>
      <c r="C25" s="12"/>
    </row>
    <row r="26" spans="1:21" ht="21" customHeight="1">
      <c r="A26" s="10">
        <v>102780</v>
      </c>
      <c r="B26" s="15" t="s">
        <v>108</v>
      </c>
      <c r="C26" s="12"/>
    </row>
    <row r="27" spans="1:21" ht="21" customHeight="1">
      <c r="A27" s="10">
        <v>77107</v>
      </c>
      <c r="B27" s="11" t="s">
        <v>120</v>
      </c>
      <c r="C27" s="12">
        <v>642</v>
      </c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7"/>
    </row>
    <row r="28" spans="1:21" ht="21" customHeight="1">
      <c r="A28" s="10">
        <v>77153</v>
      </c>
      <c r="B28" s="14" t="s">
        <v>57</v>
      </c>
      <c r="C28" s="12">
        <v>374.5</v>
      </c>
    </row>
    <row r="29" spans="1:21" ht="21" customHeight="1">
      <c r="A29" s="10">
        <v>925</v>
      </c>
      <c r="B29" s="16" t="s">
        <v>51</v>
      </c>
      <c r="C29" s="12">
        <v>0.2</v>
      </c>
    </row>
    <row r="30" spans="1:21" ht="21" customHeight="1">
      <c r="A30" s="10">
        <v>76783</v>
      </c>
      <c r="B30" s="11" t="s">
        <v>11</v>
      </c>
      <c r="C30" s="12">
        <v>695.5</v>
      </c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</row>
    <row r="31" spans="1:21" ht="21" customHeight="1">
      <c r="A31" s="10">
        <v>98679</v>
      </c>
      <c r="B31" s="13" t="s">
        <v>27</v>
      </c>
      <c r="C31" s="12"/>
    </row>
    <row r="32" spans="1:21" ht="21" customHeight="1">
      <c r="A32" s="10">
        <v>59707</v>
      </c>
      <c r="B32" s="13" t="s">
        <v>80</v>
      </c>
      <c r="C32" s="12">
        <v>15.871700000000001</v>
      </c>
    </row>
    <row r="33" spans="1:21" ht="16.5" customHeight="1">
      <c r="A33" s="10">
        <v>77045</v>
      </c>
      <c r="B33" s="14" t="s">
        <v>86</v>
      </c>
      <c r="C33" s="12">
        <v>374.5</v>
      </c>
    </row>
    <row r="34" spans="1:21" ht="16.5" customHeight="1">
      <c r="A34" s="10">
        <v>76796</v>
      </c>
      <c r="B34" s="14" t="s">
        <v>63</v>
      </c>
      <c r="C34" s="12">
        <v>160.5</v>
      </c>
    </row>
    <row r="35" spans="1:21" ht="16.5" customHeight="1">
      <c r="A35" s="10">
        <v>14829</v>
      </c>
      <c r="B35" s="13" t="s">
        <v>37</v>
      </c>
      <c r="C35" s="12">
        <v>220</v>
      </c>
    </row>
    <row r="36" spans="1:21" ht="16.5" customHeight="1">
      <c r="A36" s="10">
        <v>3950</v>
      </c>
      <c r="B36" s="16" t="s">
        <v>53</v>
      </c>
      <c r="C36" s="12">
        <v>0.51600000000000001</v>
      </c>
    </row>
    <row r="37" spans="1:21" ht="16.5" customHeight="1">
      <c r="A37" s="10">
        <v>9797</v>
      </c>
      <c r="B37" s="13" t="s">
        <v>184</v>
      </c>
      <c r="C37" s="12">
        <v>10.7</v>
      </c>
    </row>
    <row r="38" spans="1:21" ht="16.5" customHeight="1">
      <c r="A38" s="10">
        <v>81256</v>
      </c>
      <c r="B38" s="14" t="s">
        <v>84</v>
      </c>
      <c r="C38" s="12">
        <v>601.34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</row>
    <row r="39" spans="1:21" ht="16.5" customHeight="1">
      <c r="A39" s="10">
        <v>1116</v>
      </c>
      <c r="B39" s="16" t="s">
        <v>171</v>
      </c>
      <c r="C39" s="12">
        <v>25</v>
      </c>
    </row>
    <row r="40" spans="1:21" ht="16.5" customHeight="1">
      <c r="A40" s="10">
        <v>65332</v>
      </c>
      <c r="B40" s="15" t="s">
        <v>72</v>
      </c>
      <c r="C40" s="12">
        <v>941.6</v>
      </c>
    </row>
    <row r="41" spans="1:21" ht="16.5" customHeight="1">
      <c r="A41" s="10">
        <v>58341</v>
      </c>
      <c r="B41" s="18" t="s">
        <v>175</v>
      </c>
      <c r="C41" s="12">
        <v>567.1</v>
      </c>
    </row>
    <row r="42" spans="1:21" ht="16.5" customHeight="1">
      <c r="A42" s="10">
        <v>76847</v>
      </c>
      <c r="B42" s="14" t="s">
        <v>25</v>
      </c>
      <c r="C42" s="12">
        <v>481.5</v>
      </c>
    </row>
    <row r="43" spans="1:21" ht="16.5" customHeight="1">
      <c r="A43" s="10">
        <v>76984</v>
      </c>
      <c r="B43" s="14" t="s">
        <v>126</v>
      </c>
      <c r="C43" s="12">
        <v>856</v>
      </c>
    </row>
    <row r="44" spans="1:21" ht="16.5" customHeight="1">
      <c r="A44" s="10">
        <v>9914</v>
      </c>
      <c r="B44" s="16" t="s">
        <v>132</v>
      </c>
      <c r="C44" s="12">
        <v>0.2782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</row>
    <row r="45" spans="1:21" ht="16.5" customHeight="1">
      <c r="A45" s="10">
        <v>9967</v>
      </c>
      <c r="B45" s="16" t="s">
        <v>156</v>
      </c>
      <c r="C45" s="12">
        <v>2.5893999999999999</v>
      </c>
    </row>
    <row r="46" spans="1:21" ht="16.5" customHeight="1">
      <c r="A46" s="10">
        <v>81315</v>
      </c>
      <c r="B46" s="14" t="s">
        <v>102</v>
      </c>
      <c r="C46" s="12">
        <v>579</v>
      </c>
    </row>
    <row r="47" spans="1:21" ht="16.5" customHeight="1">
      <c r="A47" s="10">
        <v>92196</v>
      </c>
      <c r="B47" s="14" t="s">
        <v>90</v>
      </c>
      <c r="C47" s="12">
        <v>86</v>
      </c>
    </row>
    <row r="48" spans="1:21" ht="16.5" customHeight="1">
      <c r="A48" s="10">
        <v>2407</v>
      </c>
      <c r="B48" s="16" t="s">
        <v>149</v>
      </c>
      <c r="C48" s="12">
        <v>0.22</v>
      </c>
    </row>
    <row r="49" spans="1:21" ht="16.5" customHeight="1">
      <c r="A49" s="10">
        <v>77084</v>
      </c>
      <c r="B49" s="14" t="s">
        <v>164</v>
      </c>
      <c r="C49" s="12">
        <v>963</v>
      </c>
    </row>
    <row r="50" spans="1:21" ht="16.5" customHeight="1">
      <c r="A50" s="10">
        <v>77066</v>
      </c>
      <c r="B50" s="14" t="s">
        <v>111</v>
      </c>
      <c r="C50" s="12">
        <v>428</v>
      </c>
    </row>
    <row r="51" spans="1:21" ht="16.5" customHeight="1">
      <c r="A51" s="10">
        <v>92344</v>
      </c>
      <c r="B51" s="14" t="s">
        <v>32</v>
      </c>
      <c r="C51" s="12">
        <v>610</v>
      </c>
    </row>
    <row r="52" spans="1:21" ht="16.5" customHeight="1">
      <c r="A52" s="10">
        <v>103292</v>
      </c>
      <c r="B52" s="16" t="s">
        <v>158</v>
      </c>
      <c r="C52" s="12"/>
    </row>
    <row r="53" spans="1:21" ht="16.5" customHeight="1">
      <c r="A53" s="10">
        <v>81218</v>
      </c>
      <c r="B53" s="14" t="s">
        <v>17</v>
      </c>
      <c r="C53" s="12">
        <v>475</v>
      </c>
    </row>
    <row r="54" spans="1:21" ht="16.5" customHeight="1">
      <c r="A54" s="10">
        <v>92371</v>
      </c>
      <c r="B54" s="14" t="s">
        <v>67</v>
      </c>
      <c r="C54" s="12">
        <v>565</v>
      </c>
    </row>
    <row r="55" spans="1:21" ht="16.5" customHeight="1">
      <c r="A55" s="10">
        <v>81287</v>
      </c>
      <c r="B55" s="14" t="s">
        <v>153</v>
      </c>
      <c r="C55" s="12">
        <v>38</v>
      </c>
    </row>
    <row r="56" spans="1:21" ht="16.5" customHeight="1">
      <c r="A56" s="10">
        <v>76913</v>
      </c>
      <c r="B56" s="14" t="s">
        <v>92</v>
      </c>
      <c r="C56" s="12">
        <v>64.2</v>
      </c>
    </row>
    <row r="57" spans="1:21" ht="16.5" customHeight="1">
      <c r="A57" s="10">
        <v>2448</v>
      </c>
      <c r="B57" s="16" t="s">
        <v>41</v>
      </c>
      <c r="C57" s="12">
        <v>0.8</v>
      </c>
    </row>
    <row r="58" spans="1:21" ht="16.5" customHeight="1">
      <c r="A58" s="10">
        <v>74574</v>
      </c>
      <c r="B58" s="13" t="s">
        <v>74</v>
      </c>
      <c r="C58" s="12">
        <v>8560</v>
      </c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</row>
    <row r="59" spans="1:21" ht="16.5" customHeight="1">
      <c r="A59" s="10">
        <v>92274</v>
      </c>
      <c r="B59" s="14" t="s">
        <v>160</v>
      </c>
      <c r="C59" s="12">
        <v>2325</v>
      </c>
    </row>
    <row r="60" spans="1:21" ht="16.5" customHeight="1">
      <c r="A60" s="10">
        <v>131171</v>
      </c>
      <c r="B60" s="11" t="s">
        <v>15</v>
      </c>
      <c r="C60" s="12">
        <v>5000</v>
      </c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</row>
    <row r="61" spans="1:21" ht="16.5" customHeight="1">
      <c r="A61" s="19"/>
      <c r="B61" s="20"/>
    </row>
    <row r="62" spans="1:21" ht="16.5" customHeight="1">
      <c r="A62" s="19"/>
      <c r="B62" s="20"/>
    </row>
    <row r="63" spans="1:21" ht="16.5" customHeight="1">
      <c r="A63" s="19"/>
      <c r="B63" s="20"/>
    </row>
    <row r="64" spans="1:21" ht="16.5" customHeight="1">
      <c r="A64" s="19"/>
      <c r="B64" s="20"/>
    </row>
    <row r="65" spans="1:2" ht="16.5" customHeight="1">
      <c r="A65" s="19"/>
      <c r="B65" s="20"/>
    </row>
    <row r="66" spans="1:2" ht="16.5" customHeight="1">
      <c r="A66" s="19"/>
      <c r="B66" s="20"/>
    </row>
    <row r="67" spans="1:2" ht="16.5" customHeight="1">
      <c r="A67" s="19"/>
      <c r="B67" s="20"/>
    </row>
    <row r="68" spans="1:2" ht="16.5" customHeight="1">
      <c r="A68" s="19"/>
      <c r="B68" s="20"/>
    </row>
    <row r="69" spans="1:2" ht="16.5" customHeight="1">
      <c r="A69" s="19"/>
      <c r="B69" s="20"/>
    </row>
    <row r="70" spans="1:2" ht="16.5" customHeight="1">
      <c r="A70" s="19"/>
      <c r="B70" s="20"/>
    </row>
    <row r="71" spans="1:2" ht="16.5" customHeight="1">
      <c r="A71" s="19"/>
      <c r="B71" s="20"/>
    </row>
    <row r="72" spans="1:2" ht="16.5" customHeight="1">
      <c r="A72" s="19"/>
      <c r="B72" s="20"/>
    </row>
    <row r="73" spans="1:2" ht="16.5" customHeight="1">
      <c r="A73" s="19"/>
      <c r="B73" s="20"/>
    </row>
    <row r="74" spans="1:2" ht="16.5" customHeight="1">
      <c r="A74" s="19"/>
      <c r="B74" s="20"/>
    </row>
    <row r="75" spans="1:2" ht="16.5" customHeight="1">
      <c r="A75" s="19"/>
      <c r="B75" s="20"/>
    </row>
    <row r="76" spans="1:2" ht="16.5" customHeight="1">
      <c r="A76" s="19"/>
      <c r="B76" s="20"/>
    </row>
    <row r="77" spans="1:2" ht="16.5" customHeight="1">
      <c r="A77" s="19"/>
      <c r="B77" s="20"/>
    </row>
    <row r="78" spans="1:2" ht="16.5" customHeight="1">
      <c r="A78" s="19"/>
      <c r="B78" s="20"/>
    </row>
    <row r="79" spans="1:2" ht="16.5" customHeight="1">
      <c r="A79" s="19"/>
      <c r="B79" s="20"/>
    </row>
    <row r="80" spans="1:2" ht="16.5" customHeight="1">
      <c r="A80" s="19"/>
      <c r="B80" s="20"/>
    </row>
    <row r="81" spans="1:2" ht="16.5" customHeight="1">
      <c r="A81" s="19"/>
      <c r="B81" s="20"/>
    </row>
    <row r="82" spans="1:2" ht="16.5" customHeight="1">
      <c r="A82" s="19"/>
      <c r="B82" s="20"/>
    </row>
    <row r="83" spans="1:2" ht="16.5" customHeight="1">
      <c r="A83" s="19"/>
      <c r="B83" s="20"/>
    </row>
    <row r="84" spans="1:2" ht="16.5" customHeight="1">
      <c r="A84" s="19"/>
      <c r="B84" s="20"/>
    </row>
    <row r="85" spans="1:2" ht="16.5" customHeight="1">
      <c r="A85" s="19"/>
      <c r="B85" s="20"/>
    </row>
    <row r="86" spans="1:2" ht="16.5" customHeight="1">
      <c r="A86" s="19"/>
      <c r="B86" s="20"/>
    </row>
    <row r="87" spans="1:2" ht="16.5" customHeight="1">
      <c r="A87" s="19"/>
      <c r="B87" s="20"/>
    </row>
    <row r="88" spans="1:2" ht="16.5" customHeight="1">
      <c r="A88" s="19"/>
      <c r="B88" s="20"/>
    </row>
    <row r="89" spans="1:2" ht="16.5" customHeight="1">
      <c r="A89" s="19"/>
      <c r="B89" s="20"/>
    </row>
    <row r="90" spans="1:2" ht="16.5" customHeight="1">
      <c r="A90" s="19"/>
      <c r="B90" s="20"/>
    </row>
    <row r="91" spans="1:2" ht="16.5" customHeight="1">
      <c r="A91" s="19"/>
      <c r="B91" s="20"/>
    </row>
    <row r="92" spans="1:2" ht="16.5" customHeight="1">
      <c r="A92" s="19"/>
      <c r="B92" s="20"/>
    </row>
    <row r="93" spans="1:2" ht="16.5" customHeight="1">
      <c r="A93" s="19"/>
      <c r="B93" s="20"/>
    </row>
    <row r="94" spans="1:2" ht="16.5" customHeight="1">
      <c r="A94" s="19"/>
      <c r="B94" s="20"/>
    </row>
    <row r="95" spans="1:2" ht="16.5" customHeight="1">
      <c r="A95" s="19"/>
      <c r="B95" s="20"/>
    </row>
    <row r="96" spans="1:2" ht="16.5" customHeight="1">
      <c r="A96" s="19"/>
      <c r="B96" s="20"/>
    </row>
    <row r="97" spans="1:2" ht="16.5" customHeight="1">
      <c r="A97" s="19"/>
      <c r="B97" s="20"/>
    </row>
    <row r="98" spans="1:2" ht="16.5" customHeight="1">
      <c r="A98" s="19"/>
      <c r="B98" s="20"/>
    </row>
    <row r="99" spans="1:2" ht="16.5" customHeight="1">
      <c r="A99" s="19"/>
      <c r="B99" s="20"/>
    </row>
    <row r="100" spans="1:2" ht="16.5" customHeight="1">
      <c r="A100" s="19"/>
      <c r="B100" s="20"/>
    </row>
    <row r="101" spans="1:2" ht="16.5" customHeight="1">
      <c r="A101" s="19"/>
      <c r="B101" s="20"/>
    </row>
    <row r="102" spans="1:2" ht="16.5" customHeight="1">
      <c r="A102" s="19"/>
      <c r="B102" s="20"/>
    </row>
    <row r="103" spans="1:2" ht="16.5" customHeight="1">
      <c r="A103" s="19"/>
      <c r="B103" s="20"/>
    </row>
    <row r="104" spans="1:2" ht="16.5" customHeight="1">
      <c r="A104" s="19"/>
      <c r="B104" s="20"/>
    </row>
    <row r="105" spans="1:2" ht="16.5" customHeight="1">
      <c r="A105" s="19"/>
      <c r="B105" s="20"/>
    </row>
    <row r="106" spans="1:2" ht="16.5" customHeight="1">
      <c r="A106" s="19"/>
      <c r="B106" s="20"/>
    </row>
    <row r="107" spans="1:2" ht="16.5" customHeight="1">
      <c r="A107" s="19"/>
      <c r="B107" s="20"/>
    </row>
    <row r="108" spans="1:2" ht="16.5" customHeight="1">
      <c r="A108" s="19"/>
      <c r="B108" s="20"/>
    </row>
    <row r="109" spans="1:2" ht="16.5" customHeight="1">
      <c r="A109" s="19"/>
      <c r="B109" s="20"/>
    </row>
    <row r="110" spans="1:2" ht="16.5" customHeight="1">
      <c r="A110" s="19"/>
      <c r="B110" s="20"/>
    </row>
    <row r="111" spans="1:2" ht="16.5" customHeight="1">
      <c r="A111" s="19"/>
      <c r="B111" s="20"/>
    </row>
    <row r="112" spans="1:2" ht="16.5" customHeight="1">
      <c r="A112" s="19"/>
      <c r="B112" s="20"/>
    </row>
    <row r="113" spans="1:2" ht="16.5" customHeight="1">
      <c r="A113" s="19"/>
      <c r="B113" s="20"/>
    </row>
    <row r="114" spans="1:2" ht="16.5" customHeight="1">
      <c r="A114" s="19"/>
      <c r="B114" s="20"/>
    </row>
    <row r="115" spans="1:2" ht="16.5" customHeight="1">
      <c r="A115" s="19"/>
      <c r="B115" s="20"/>
    </row>
    <row r="116" spans="1:2" ht="16.5" customHeight="1">
      <c r="A116" s="19"/>
      <c r="B116" s="20"/>
    </row>
    <row r="117" spans="1:2" ht="16.5" customHeight="1">
      <c r="A117" s="19"/>
      <c r="B117" s="20"/>
    </row>
    <row r="118" spans="1:2" ht="16.5" customHeight="1">
      <c r="A118" s="19"/>
      <c r="B118" s="20"/>
    </row>
    <row r="119" spans="1:2" ht="16.5" customHeight="1">
      <c r="A119" s="19"/>
      <c r="B119" s="20"/>
    </row>
    <row r="120" spans="1:2" ht="16.5" customHeight="1">
      <c r="A120" s="19"/>
      <c r="B120" s="20"/>
    </row>
    <row r="121" spans="1:2" ht="16.5" customHeight="1">
      <c r="A121" s="19"/>
      <c r="B121" s="20"/>
    </row>
    <row r="122" spans="1:2" ht="16.5" customHeight="1">
      <c r="A122" s="19"/>
      <c r="B122" s="20"/>
    </row>
    <row r="123" spans="1:2" ht="16.5" customHeight="1">
      <c r="A123" s="19"/>
      <c r="B123" s="20"/>
    </row>
    <row r="124" spans="1:2" ht="16.5" customHeight="1">
      <c r="A124" s="19"/>
      <c r="B124" s="20"/>
    </row>
    <row r="125" spans="1:2" ht="16.5" customHeight="1">
      <c r="A125" s="19"/>
      <c r="B125" s="20"/>
    </row>
    <row r="126" spans="1:2" ht="16.5" customHeight="1">
      <c r="A126" s="19"/>
      <c r="B126" s="20"/>
    </row>
    <row r="127" spans="1:2" ht="16.5" customHeight="1">
      <c r="A127" s="19"/>
      <c r="B127" s="20"/>
    </row>
    <row r="128" spans="1:2" ht="16.5" customHeight="1">
      <c r="A128" s="19"/>
      <c r="B128" s="20"/>
    </row>
    <row r="129" spans="1:2" ht="16.5" customHeight="1">
      <c r="A129" s="19"/>
      <c r="B129" s="20"/>
    </row>
    <row r="130" spans="1:2" ht="16.5" customHeight="1">
      <c r="A130" s="19"/>
      <c r="B130" s="20"/>
    </row>
    <row r="131" spans="1:2" ht="16.5" customHeight="1">
      <c r="A131" s="19"/>
      <c r="B131" s="20"/>
    </row>
    <row r="132" spans="1:2" ht="16.5" customHeight="1">
      <c r="A132" s="19"/>
      <c r="B132" s="20"/>
    </row>
    <row r="133" spans="1:2" ht="16.5" customHeight="1">
      <c r="A133" s="19"/>
      <c r="B133" s="20"/>
    </row>
    <row r="134" spans="1:2" ht="16.5" customHeight="1">
      <c r="A134" s="19"/>
      <c r="B134" s="20"/>
    </row>
    <row r="135" spans="1:2" ht="16.5" customHeight="1">
      <c r="A135" s="19"/>
      <c r="B135" s="20"/>
    </row>
    <row r="136" spans="1:2" ht="16.5" customHeight="1">
      <c r="A136" s="19"/>
      <c r="B136" s="20"/>
    </row>
    <row r="137" spans="1:2" ht="16.5" customHeight="1">
      <c r="A137" s="19"/>
      <c r="B137" s="20"/>
    </row>
    <row r="138" spans="1:2" ht="16.5" customHeight="1">
      <c r="A138" s="19"/>
      <c r="B138" s="20"/>
    </row>
    <row r="139" spans="1:2" ht="16.5" customHeight="1">
      <c r="A139" s="19"/>
      <c r="B139" s="20"/>
    </row>
    <row r="140" spans="1:2" ht="16.5" customHeight="1">
      <c r="A140" s="19"/>
      <c r="B140" s="20"/>
    </row>
    <row r="141" spans="1:2" ht="16.5" customHeight="1">
      <c r="A141" s="19"/>
      <c r="B141" s="20"/>
    </row>
    <row r="142" spans="1:2" ht="16.5" customHeight="1">
      <c r="A142" s="19"/>
      <c r="B142" s="20"/>
    </row>
    <row r="143" spans="1:2" ht="16.5" customHeight="1">
      <c r="A143" s="19"/>
      <c r="B143" s="20"/>
    </row>
    <row r="144" spans="1:2" ht="16.5" customHeight="1">
      <c r="A144" s="19"/>
      <c r="B144" s="20"/>
    </row>
    <row r="145" spans="1:2" ht="16.5" customHeight="1">
      <c r="A145" s="19"/>
      <c r="B145" s="20"/>
    </row>
    <row r="146" spans="1:2" ht="16.5" customHeight="1">
      <c r="A146" s="19"/>
      <c r="B146" s="20"/>
    </row>
    <row r="147" spans="1:2" ht="16.5" customHeight="1">
      <c r="A147" s="19"/>
      <c r="B147" s="20"/>
    </row>
    <row r="148" spans="1:2" ht="16.5" customHeight="1">
      <c r="A148" s="19"/>
      <c r="B148" s="20"/>
    </row>
    <row r="149" spans="1:2" ht="16.5" customHeight="1">
      <c r="A149" s="19"/>
      <c r="B149" s="20"/>
    </row>
    <row r="150" spans="1:2" ht="16.5" customHeight="1">
      <c r="A150" s="19"/>
      <c r="B150" s="20"/>
    </row>
    <row r="151" spans="1:2" ht="16.5" customHeight="1">
      <c r="A151" s="19"/>
      <c r="B151" s="20"/>
    </row>
    <row r="152" spans="1:2" ht="16.5" customHeight="1">
      <c r="A152" s="19"/>
      <c r="B152" s="20"/>
    </row>
    <row r="153" spans="1:2" ht="16.5" customHeight="1">
      <c r="A153" s="19"/>
      <c r="B153" s="20"/>
    </row>
    <row r="154" spans="1:2" ht="16.5" customHeight="1">
      <c r="A154" s="19"/>
      <c r="B154" s="20"/>
    </row>
    <row r="155" spans="1:2" ht="16.5" customHeight="1">
      <c r="A155" s="19"/>
      <c r="B155" s="20"/>
    </row>
    <row r="156" spans="1:2" ht="16.5" customHeight="1">
      <c r="A156" s="19"/>
      <c r="B156" s="20"/>
    </row>
    <row r="157" spans="1:2" ht="16.5" customHeight="1">
      <c r="A157" s="19"/>
      <c r="B157" s="20"/>
    </row>
    <row r="158" spans="1:2" ht="16.5" customHeight="1">
      <c r="A158" s="19"/>
      <c r="B158" s="20"/>
    </row>
    <row r="159" spans="1:2" ht="16.5" customHeight="1">
      <c r="A159" s="19"/>
      <c r="B159" s="20"/>
    </row>
    <row r="160" spans="1:2" ht="16.5" customHeight="1">
      <c r="A160" s="19"/>
      <c r="B160" s="20"/>
    </row>
    <row r="161" spans="1:2" ht="16.5" customHeight="1">
      <c r="A161" s="19"/>
      <c r="B161" s="20"/>
    </row>
    <row r="162" spans="1:2" ht="16.5" customHeight="1">
      <c r="A162" s="19"/>
      <c r="B162" s="20"/>
    </row>
    <row r="163" spans="1:2" ht="16.5" customHeight="1">
      <c r="A163" s="19"/>
      <c r="B163" s="20"/>
    </row>
    <row r="164" spans="1:2" ht="16.5" customHeight="1">
      <c r="A164" s="19"/>
      <c r="B164" s="20"/>
    </row>
    <row r="165" spans="1:2" ht="16.5" customHeight="1">
      <c r="A165" s="19"/>
      <c r="B165" s="20"/>
    </row>
    <row r="166" spans="1:2" ht="16.5" customHeight="1">
      <c r="A166" s="19"/>
      <c r="B166" s="20"/>
    </row>
    <row r="167" spans="1:2" ht="16.5" customHeight="1">
      <c r="A167" s="19"/>
      <c r="B167" s="20"/>
    </row>
    <row r="168" spans="1:2" ht="16.5" customHeight="1">
      <c r="A168" s="19"/>
      <c r="B168" s="20"/>
    </row>
    <row r="169" spans="1:2" ht="16.5" customHeight="1">
      <c r="A169" s="19"/>
      <c r="B169" s="20"/>
    </row>
    <row r="170" spans="1:2" ht="16.5" customHeight="1">
      <c r="A170" s="19"/>
      <c r="B170" s="20"/>
    </row>
    <row r="171" spans="1:2" ht="16.5" customHeight="1">
      <c r="A171" s="19"/>
      <c r="B171" s="20"/>
    </row>
    <row r="172" spans="1:2" ht="16.5" customHeight="1">
      <c r="A172" s="19"/>
      <c r="B172" s="20"/>
    </row>
    <row r="173" spans="1:2" ht="16.5" customHeight="1">
      <c r="A173" s="19"/>
      <c r="B173" s="20"/>
    </row>
    <row r="174" spans="1:2" ht="16.5" customHeight="1">
      <c r="A174" s="19"/>
      <c r="B174" s="20"/>
    </row>
    <row r="175" spans="1:2" ht="16.5" customHeight="1">
      <c r="A175" s="19"/>
      <c r="B175" s="20"/>
    </row>
    <row r="176" spans="1:2" ht="16.5" customHeight="1">
      <c r="A176" s="19"/>
      <c r="B176" s="20"/>
    </row>
    <row r="177" spans="1:2" ht="16.5" customHeight="1">
      <c r="A177" s="19"/>
      <c r="B177" s="20"/>
    </row>
    <row r="178" spans="1:2" ht="16.5" customHeight="1">
      <c r="A178" s="19"/>
      <c r="B178" s="20"/>
    </row>
    <row r="179" spans="1:2" ht="16.5" customHeight="1">
      <c r="A179" s="19"/>
      <c r="B179" s="20"/>
    </row>
    <row r="180" spans="1:2" ht="16.5" customHeight="1">
      <c r="A180" s="19"/>
      <c r="B180" s="20"/>
    </row>
    <row r="181" spans="1:2" ht="16.5" customHeight="1">
      <c r="A181" s="19"/>
      <c r="B181" s="20"/>
    </row>
    <row r="182" spans="1:2" ht="16.5" customHeight="1">
      <c r="A182" s="19"/>
      <c r="B182" s="20"/>
    </row>
    <row r="183" spans="1:2" ht="16.5" customHeight="1">
      <c r="A183" s="19"/>
      <c r="B183" s="20"/>
    </row>
    <row r="184" spans="1:2" ht="16.5" customHeight="1">
      <c r="A184" s="19"/>
      <c r="B184" s="20"/>
    </row>
    <row r="185" spans="1:2" ht="16.5" customHeight="1">
      <c r="A185" s="19"/>
      <c r="B185" s="20"/>
    </row>
    <row r="186" spans="1:2" ht="16.5" customHeight="1">
      <c r="A186" s="19"/>
      <c r="B186" s="20"/>
    </row>
    <row r="187" spans="1:2" ht="16.5" customHeight="1">
      <c r="A187" s="19"/>
      <c r="B187" s="20"/>
    </row>
    <row r="188" spans="1:2" ht="16.5" customHeight="1">
      <c r="A188" s="19"/>
      <c r="B188" s="20"/>
    </row>
    <row r="189" spans="1:2" ht="16.5" customHeight="1">
      <c r="A189" s="19"/>
      <c r="B189" s="20"/>
    </row>
    <row r="190" spans="1:2" ht="16.5" customHeight="1">
      <c r="A190" s="19"/>
      <c r="B190" s="20"/>
    </row>
    <row r="191" spans="1:2" ht="16.5" customHeight="1">
      <c r="A191" s="19"/>
      <c r="B191" s="20"/>
    </row>
    <row r="192" spans="1:2" ht="16.5" customHeight="1">
      <c r="A192" s="19"/>
      <c r="B192" s="20"/>
    </row>
    <row r="193" spans="1:2" ht="16.5" customHeight="1">
      <c r="A193" s="19"/>
      <c r="B193" s="20"/>
    </row>
    <row r="194" spans="1:2" ht="16.5" customHeight="1">
      <c r="A194" s="19"/>
      <c r="B194" s="20"/>
    </row>
    <row r="195" spans="1:2" ht="16.5" customHeight="1">
      <c r="A195" s="19"/>
      <c r="B195" s="20"/>
    </row>
    <row r="196" spans="1:2" ht="16.5" customHeight="1">
      <c r="A196" s="19"/>
      <c r="B196" s="20"/>
    </row>
    <row r="197" spans="1:2" ht="16.5" customHeight="1">
      <c r="A197" s="19"/>
      <c r="B197" s="20"/>
    </row>
    <row r="198" spans="1:2" ht="16.5" customHeight="1">
      <c r="A198" s="19"/>
      <c r="B198" s="20"/>
    </row>
    <row r="199" spans="1:2" ht="16.5" customHeight="1">
      <c r="A199" s="19"/>
      <c r="B199" s="20"/>
    </row>
    <row r="200" spans="1:2" ht="16.5" customHeight="1">
      <c r="A200" s="19"/>
      <c r="B200" s="20"/>
    </row>
    <row r="201" spans="1:2" ht="16.5" customHeight="1">
      <c r="A201" s="19"/>
      <c r="B201" s="20"/>
    </row>
    <row r="202" spans="1:2" ht="16.5" customHeight="1">
      <c r="A202" s="19"/>
      <c r="B202" s="20"/>
    </row>
    <row r="203" spans="1:2" ht="16.5" customHeight="1">
      <c r="A203" s="19"/>
      <c r="B203" s="20"/>
    </row>
    <row r="204" spans="1:2" ht="16.5" customHeight="1">
      <c r="A204" s="19"/>
      <c r="B204" s="20"/>
    </row>
    <row r="205" spans="1:2" ht="16.5" customHeight="1">
      <c r="A205" s="19"/>
      <c r="B205" s="20"/>
    </row>
    <row r="206" spans="1:2" ht="16.5" customHeight="1">
      <c r="A206" s="19"/>
      <c r="B206" s="20"/>
    </row>
    <row r="207" spans="1:2" ht="16.5" customHeight="1">
      <c r="A207" s="19"/>
      <c r="B207" s="20"/>
    </row>
    <row r="208" spans="1:2" ht="16.5" customHeight="1">
      <c r="A208" s="19"/>
      <c r="B208" s="20"/>
    </row>
    <row r="209" spans="1:2" ht="16.5" customHeight="1">
      <c r="A209" s="19"/>
      <c r="B209" s="20"/>
    </row>
    <row r="210" spans="1:2" ht="16.5" customHeight="1">
      <c r="A210" s="19"/>
      <c r="B210" s="20"/>
    </row>
    <row r="211" spans="1:2" ht="16.5" customHeight="1">
      <c r="A211" s="19"/>
      <c r="B211" s="20"/>
    </row>
    <row r="212" spans="1:2" ht="16.5" customHeight="1">
      <c r="A212" s="19"/>
      <c r="B212" s="20"/>
    </row>
    <row r="213" spans="1:2" ht="16.5" customHeight="1">
      <c r="A213" s="19"/>
      <c r="B213" s="20"/>
    </row>
    <row r="214" spans="1:2" ht="16.5" customHeight="1">
      <c r="A214" s="19"/>
      <c r="B214" s="20"/>
    </row>
    <row r="215" spans="1:2" ht="16.5" customHeight="1">
      <c r="A215" s="19"/>
      <c r="B215" s="20"/>
    </row>
    <row r="216" spans="1:2" ht="16.5" customHeight="1">
      <c r="A216" s="19"/>
      <c r="B216" s="20"/>
    </row>
    <row r="217" spans="1:2" ht="16.5" customHeight="1">
      <c r="A217" s="19"/>
      <c r="B217" s="20"/>
    </row>
    <row r="218" spans="1:2" ht="16.5" customHeight="1">
      <c r="A218" s="19"/>
      <c r="B218" s="20"/>
    </row>
    <row r="219" spans="1:2" ht="16.5" customHeight="1">
      <c r="A219" s="19"/>
      <c r="B219" s="20"/>
    </row>
    <row r="220" spans="1:2" ht="16.5" customHeight="1">
      <c r="A220" s="19"/>
      <c r="B220" s="20"/>
    </row>
    <row r="221" spans="1:2" ht="16.5" customHeight="1">
      <c r="A221" s="19"/>
      <c r="B221" s="20"/>
    </row>
    <row r="222" spans="1:2" ht="16.5" customHeight="1">
      <c r="A222" s="19"/>
      <c r="B222" s="20"/>
    </row>
    <row r="223" spans="1:2" ht="16.5" customHeight="1">
      <c r="A223" s="19"/>
      <c r="B223" s="20"/>
    </row>
    <row r="224" spans="1:2" ht="16.5" customHeight="1">
      <c r="A224" s="19"/>
      <c r="B224" s="20"/>
    </row>
    <row r="225" spans="1:2" ht="16.5" customHeight="1">
      <c r="A225" s="19"/>
      <c r="B225" s="20"/>
    </row>
    <row r="226" spans="1:2" ht="16.5" customHeight="1">
      <c r="A226" s="19"/>
      <c r="B226" s="20"/>
    </row>
    <row r="227" spans="1:2" ht="16.5" customHeight="1">
      <c r="A227" s="19"/>
      <c r="B227" s="20"/>
    </row>
    <row r="228" spans="1:2" ht="16.5" customHeight="1">
      <c r="A228" s="19"/>
      <c r="B228" s="20"/>
    </row>
    <row r="229" spans="1:2" ht="16.5" customHeight="1">
      <c r="A229" s="19"/>
      <c r="B229" s="20"/>
    </row>
    <row r="230" spans="1:2" ht="16.5" customHeight="1">
      <c r="A230" s="19"/>
      <c r="B230" s="20"/>
    </row>
    <row r="231" spans="1:2" ht="16.5" customHeight="1">
      <c r="A231" s="19"/>
      <c r="B231" s="20"/>
    </row>
    <row r="232" spans="1:2" ht="16.5" customHeight="1">
      <c r="A232" s="19"/>
      <c r="B232" s="20"/>
    </row>
    <row r="233" spans="1:2" ht="16.5" customHeight="1">
      <c r="A233" s="19"/>
      <c r="B233" s="20"/>
    </row>
    <row r="234" spans="1:2" ht="16.5" customHeight="1">
      <c r="A234" s="19"/>
      <c r="B234" s="20"/>
    </row>
    <row r="235" spans="1:2" ht="16.5" customHeight="1">
      <c r="A235" s="19"/>
      <c r="B235" s="20"/>
    </row>
    <row r="236" spans="1:2" ht="16.5" customHeight="1">
      <c r="A236" s="19"/>
      <c r="B236" s="20"/>
    </row>
    <row r="237" spans="1:2" ht="16.5" customHeight="1">
      <c r="A237" s="19"/>
      <c r="B237" s="20"/>
    </row>
    <row r="238" spans="1:2" ht="16.5" customHeight="1">
      <c r="A238" s="19"/>
      <c r="B238" s="20"/>
    </row>
    <row r="239" spans="1:2" ht="16.5" customHeight="1">
      <c r="A239" s="19"/>
      <c r="B239" s="20"/>
    </row>
    <row r="240" spans="1:2" ht="16.5" customHeight="1">
      <c r="A240" s="19"/>
      <c r="B240" s="20"/>
    </row>
    <row r="241" spans="1:2" ht="16.5" customHeight="1">
      <c r="A241" s="19"/>
      <c r="B241" s="20"/>
    </row>
    <row r="242" spans="1:2" ht="16.5" customHeight="1">
      <c r="A242" s="19"/>
      <c r="B242" s="20"/>
    </row>
    <row r="243" spans="1:2" ht="16.5" customHeight="1">
      <c r="A243" s="19"/>
      <c r="B243" s="20"/>
    </row>
    <row r="244" spans="1:2" ht="16.5" customHeight="1">
      <c r="A244" s="19"/>
      <c r="B244" s="20"/>
    </row>
    <row r="245" spans="1:2" ht="16.5" customHeight="1">
      <c r="A245" s="19"/>
      <c r="B245" s="20"/>
    </row>
    <row r="246" spans="1:2" ht="16.5" customHeight="1">
      <c r="A246" s="19"/>
      <c r="B246" s="20"/>
    </row>
    <row r="247" spans="1:2" ht="16.5" customHeight="1">
      <c r="A247" s="19"/>
      <c r="B247" s="20"/>
    </row>
    <row r="248" spans="1:2" ht="16.5" customHeight="1">
      <c r="A248" s="19"/>
      <c r="B248" s="20"/>
    </row>
    <row r="249" spans="1:2" ht="16.5" customHeight="1">
      <c r="A249" s="19"/>
      <c r="B249" s="20"/>
    </row>
    <row r="250" spans="1:2" ht="16.5" customHeight="1">
      <c r="A250" s="19"/>
      <c r="B250" s="20"/>
    </row>
    <row r="251" spans="1:2" ht="16.5" customHeight="1">
      <c r="A251" s="19"/>
      <c r="B251" s="20"/>
    </row>
    <row r="252" spans="1:2" ht="16.5" customHeight="1">
      <c r="A252" s="19"/>
      <c r="B252" s="20"/>
    </row>
    <row r="253" spans="1:2" ht="16.5" customHeight="1">
      <c r="A253" s="19"/>
      <c r="B253" s="20"/>
    </row>
    <row r="254" spans="1:2" ht="16.5" customHeight="1">
      <c r="A254" s="19"/>
      <c r="B254" s="20"/>
    </row>
    <row r="255" spans="1:2" ht="16.5" customHeight="1">
      <c r="A255" s="19"/>
      <c r="B255" s="20"/>
    </row>
    <row r="256" spans="1:2" ht="16.5" customHeight="1">
      <c r="A256" s="19"/>
      <c r="B256" s="20"/>
    </row>
    <row r="257" spans="1:2" ht="16.5" customHeight="1">
      <c r="A257" s="19"/>
      <c r="B257" s="20"/>
    </row>
    <row r="258" spans="1:2" ht="16.5" customHeight="1">
      <c r="A258" s="19"/>
      <c r="B258" s="20"/>
    </row>
    <row r="259" spans="1:2" ht="16.5" customHeight="1">
      <c r="A259" s="19"/>
      <c r="B259" s="20"/>
    </row>
    <row r="260" spans="1:2" ht="16.5" customHeight="1">
      <c r="A260" s="19"/>
      <c r="B260" s="20"/>
    </row>
    <row r="261" spans="1:2" ht="13.5" customHeight="1"/>
    <row r="262" spans="1:2" ht="13.5" customHeight="1"/>
    <row r="263" spans="1:2" ht="13.5" customHeight="1"/>
    <row r="264" spans="1:2" ht="13.5" customHeight="1"/>
    <row r="265" spans="1:2" ht="13.5" customHeight="1"/>
    <row r="266" spans="1:2" ht="13.5" customHeight="1"/>
    <row r="267" spans="1:2" ht="13.5" customHeight="1"/>
    <row r="268" spans="1:2" ht="13.5" customHeight="1"/>
    <row r="269" spans="1:2" ht="13.5" customHeight="1"/>
    <row r="270" spans="1:2" ht="13.5" customHeight="1"/>
    <row r="271" spans="1:2" ht="13.5" customHeight="1"/>
    <row r="272" spans="1:2" ht="13.5" customHeight="1"/>
    <row r="273" ht="13.5" customHeight="1"/>
    <row r="274" ht="13.5" customHeight="1"/>
    <row r="275" ht="13.5" customHeight="1"/>
    <row r="276" ht="13.5" customHeight="1"/>
    <row r="277" ht="13.5" customHeight="1"/>
    <row r="278" ht="13.5" customHeight="1"/>
    <row r="279" ht="13.5" customHeight="1"/>
    <row r="280" ht="13.5" customHeight="1"/>
    <row r="281" ht="13.5" customHeight="1"/>
    <row r="282" ht="13.5" customHeight="1"/>
    <row r="283" ht="13.5" customHeight="1"/>
    <row r="284" ht="13.5" customHeight="1"/>
    <row r="285" ht="13.5" customHeight="1"/>
    <row r="286" ht="13.5" customHeight="1"/>
    <row r="287" ht="13.5" customHeight="1"/>
    <row r="288" ht="13.5" customHeight="1"/>
    <row r="289" ht="13.5" customHeight="1"/>
    <row r="290" ht="13.5" customHeight="1"/>
    <row r="291" ht="13.5" customHeight="1"/>
    <row r="292" ht="13.5" customHeight="1"/>
    <row r="293" ht="13.5" customHeight="1"/>
    <row r="294" ht="13.5" customHeight="1"/>
    <row r="295" ht="13.5" customHeight="1"/>
    <row r="296" ht="13.5" customHeight="1"/>
    <row r="297" ht="13.5" customHeight="1"/>
    <row r="298" ht="13.5" customHeight="1"/>
    <row r="299" ht="13.5" customHeight="1"/>
    <row r="300" ht="13.5" customHeight="1"/>
    <row r="301" ht="13.5" customHeight="1"/>
    <row r="302" ht="13.5" customHeight="1"/>
    <row r="303" ht="13.5" customHeight="1"/>
    <row r="304" ht="13.5" customHeight="1"/>
    <row r="305" ht="13.5" customHeight="1"/>
    <row r="306" ht="13.5" customHeight="1"/>
    <row r="307" ht="13.5" customHeight="1"/>
    <row r="308" ht="13.5" customHeight="1"/>
    <row r="309" ht="13.5" customHeight="1"/>
    <row r="310" ht="13.5" customHeight="1"/>
    <row r="311" ht="13.5" customHeight="1"/>
    <row r="312" ht="13.5" customHeight="1"/>
    <row r="313" ht="13.5" customHeight="1"/>
    <row r="314" ht="13.5" customHeight="1"/>
    <row r="315" ht="13.5" customHeight="1"/>
    <row r="316" ht="13.5" customHeight="1"/>
    <row r="317" ht="13.5" customHeight="1"/>
    <row r="318" ht="13.5" customHeight="1"/>
    <row r="319" ht="13.5" customHeight="1"/>
    <row r="320" ht="13.5" customHeight="1"/>
    <row r="321" ht="13.5" customHeight="1"/>
    <row r="322" ht="13.5" customHeight="1"/>
    <row r="323" ht="13.5" customHeight="1"/>
    <row r="324" ht="13.5" customHeight="1"/>
    <row r="325" ht="13.5" customHeight="1"/>
    <row r="326" ht="13.5" customHeight="1"/>
    <row r="327" ht="13.5" customHeight="1"/>
    <row r="328" ht="13.5" customHeight="1"/>
    <row r="329" ht="13.5" customHeight="1"/>
    <row r="330" ht="13.5" customHeight="1"/>
    <row r="331" ht="13.5" customHeight="1"/>
    <row r="332" ht="13.5" customHeight="1"/>
    <row r="333" ht="13.5" customHeight="1"/>
    <row r="334" ht="13.5" customHeight="1"/>
    <row r="335" ht="13.5" customHeight="1"/>
    <row r="336" ht="13.5" customHeight="1"/>
    <row r="337" ht="13.5" customHeight="1"/>
    <row r="338" ht="13.5" customHeight="1"/>
    <row r="339" ht="13.5" customHeight="1"/>
    <row r="340" ht="13.5" customHeight="1"/>
    <row r="341" ht="13.5" customHeight="1"/>
    <row r="342" ht="13.5" customHeight="1"/>
    <row r="343" ht="13.5" customHeight="1"/>
    <row r="344" ht="13.5" customHeight="1"/>
    <row r="345" ht="13.5" customHeight="1"/>
    <row r="346" ht="13.5" customHeight="1"/>
    <row r="347" ht="13.5" customHeight="1"/>
    <row r="348" ht="13.5" customHeight="1"/>
    <row r="349" ht="13.5" customHeight="1"/>
    <row r="350" ht="13.5" customHeight="1"/>
    <row r="351" ht="13.5" customHeight="1"/>
    <row r="352" ht="13.5" customHeight="1"/>
    <row r="353" ht="13.5" customHeight="1"/>
    <row r="354" ht="13.5" customHeight="1"/>
    <row r="355" ht="13.5" customHeight="1"/>
    <row r="356" ht="13.5" customHeight="1"/>
    <row r="357" ht="13.5" customHeight="1"/>
    <row r="358" ht="13.5" customHeight="1"/>
    <row r="359" ht="13.5" customHeight="1"/>
    <row r="360" ht="13.5" customHeight="1"/>
    <row r="361" ht="13.5" customHeight="1"/>
    <row r="362" ht="13.5" customHeight="1"/>
    <row r="363" ht="13.5" customHeight="1"/>
    <row r="364" ht="13.5" customHeight="1"/>
    <row r="365" ht="13.5" customHeight="1"/>
    <row r="366" ht="13.5" customHeight="1"/>
    <row r="367" ht="13.5" customHeight="1"/>
    <row r="368" ht="13.5" customHeight="1"/>
    <row r="369" ht="13.5" customHeight="1"/>
    <row r="370" ht="13.5" customHeight="1"/>
    <row r="371" ht="13.5" customHeight="1"/>
    <row r="372" ht="13.5" customHeight="1"/>
    <row r="373" ht="13.5" customHeight="1"/>
    <row r="374" ht="13.5" customHeight="1"/>
    <row r="375" ht="13.5" customHeight="1"/>
    <row r="376" ht="13.5" customHeight="1"/>
    <row r="377" ht="13.5" customHeight="1"/>
    <row r="378" ht="13.5" customHeight="1"/>
    <row r="379" ht="13.5" customHeight="1"/>
    <row r="380" ht="13.5" customHeight="1"/>
    <row r="381" ht="13.5" customHeight="1"/>
    <row r="382" ht="13.5" customHeight="1"/>
    <row r="383" ht="13.5" customHeight="1"/>
    <row r="384" ht="13.5" customHeight="1"/>
    <row r="385" ht="13.5" customHeight="1"/>
    <row r="386" ht="13.5" customHeight="1"/>
    <row r="387" ht="13.5" customHeight="1"/>
    <row r="388" ht="13.5" customHeight="1"/>
    <row r="389" ht="13.5" customHeight="1"/>
    <row r="390" ht="13.5" customHeight="1"/>
    <row r="391" ht="13.5" customHeight="1"/>
    <row r="392" ht="13.5" customHeight="1"/>
    <row r="393" ht="13.5" customHeight="1"/>
    <row r="394" ht="13.5" customHeight="1"/>
    <row r="395" ht="13.5" customHeight="1"/>
    <row r="396" ht="13.5" customHeight="1"/>
    <row r="397" ht="13.5" customHeight="1"/>
    <row r="398" ht="13.5" customHeight="1"/>
    <row r="399" ht="13.5" customHeight="1"/>
    <row r="400" ht="13.5" customHeight="1"/>
    <row r="401" ht="13.5" customHeight="1"/>
    <row r="402" ht="13.5" customHeight="1"/>
    <row r="403" ht="13.5" customHeight="1"/>
    <row r="404" ht="13.5" customHeight="1"/>
    <row r="405" ht="13.5" customHeight="1"/>
    <row r="406" ht="13.5" customHeight="1"/>
    <row r="407" ht="13.5" customHeight="1"/>
    <row r="408" ht="13.5" customHeight="1"/>
    <row r="409" ht="13.5" customHeight="1"/>
    <row r="410" ht="13.5" customHeight="1"/>
    <row r="411" ht="13.5" customHeight="1"/>
    <row r="412" ht="13.5" customHeight="1"/>
    <row r="413" ht="13.5" customHeight="1"/>
    <row r="414" ht="13.5" customHeight="1"/>
    <row r="415" ht="13.5" customHeight="1"/>
    <row r="416" ht="13.5" customHeight="1"/>
    <row r="417" ht="13.5" customHeight="1"/>
    <row r="418" ht="13.5" customHeight="1"/>
    <row r="419" ht="13.5" customHeight="1"/>
    <row r="420" ht="13.5" customHeight="1"/>
    <row r="421" ht="13.5" customHeight="1"/>
    <row r="422" ht="13.5" customHeight="1"/>
    <row r="423" ht="13.5" customHeight="1"/>
    <row r="424" ht="13.5" customHeight="1"/>
    <row r="425" ht="13.5" customHeight="1"/>
    <row r="426" ht="13.5" customHeight="1"/>
    <row r="427" ht="13.5" customHeight="1"/>
    <row r="428" ht="13.5" customHeight="1"/>
    <row r="429" ht="13.5" customHeight="1"/>
    <row r="430" ht="13.5" customHeight="1"/>
    <row r="431" ht="13.5" customHeight="1"/>
    <row r="432" ht="13.5" customHeight="1"/>
    <row r="433" ht="13.5" customHeight="1"/>
    <row r="434" ht="13.5" customHeight="1"/>
    <row r="435" ht="13.5" customHeight="1"/>
    <row r="436" ht="13.5" customHeight="1"/>
    <row r="437" ht="13.5" customHeight="1"/>
    <row r="438" ht="13.5" customHeight="1"/>
    <row r="439" ht="13.5" customHeight="1"/>
    <row r="440" ht="13.5" customHeight="1"/>
    <row r="441" ht="13.5" customHeight="1"/>
    <row r="442" ht="13.5" customHeight="1"/>
    <row r="443" ht="13.5" customHeight="1"/>
    <row r="444" ht="13.5" customHeight="1"/>
    <row r="445" ht="13.5" customHeight="1"/>
    <row r="446" ht="13.5" customHeight="1"/>
    <row r="447" ht="13.5" customHeight="1"/>
    <row r="448" ht="13.5" customHeight="1"/>
    <row r="449" ht="13.5" customHeight="1"/>
    <row r="450" ht="13.5" customHeight="1"/>
    <row r="451" ht="13.5" customHeight="1"/>
    <row r="452" ht="13.5" customHeight="1"/>
    <row r="453" ht="13.5" customHeight="1"/>
    <row r="454" ht="13.5" customHeight="1"/>
    <row r="455" ht="13.5" customHeight="1"/>
    <row r="456" ht="13.5" customHeight="1"/>
    <row r="457" ht="13.5" customHeight="1"/>
    <row r="458" ht="13.5" customHeight="1"/>
    <row r="459" ht="13.5" customHeight="1"/>
    <row r="460" ht="13.5" customHeight="1"/>
    <row r="461" ht="13.5" customHeight="1"/>
    <row r="462" ht="13.5" customHeight="1"/>
    <row r="463" ht="13.5" customHeight="1"/>
    <row r="464" ht="13.5" customHeight="1"/>
    <row r="465" ht="13.5" customHeight="1"/>
    <row r="466" ht="13.5" customHeight="1"/>
    <row r="467" ht="13.5" customHeight="1"/>
    <row r="468" ht="13.5" customHeight="1"/>
    <row r="469" ht="13.5" customHeight="1"/>
    <row r="470" ht="13.5" customHeight="1"/>
    <row r="471" ht="13.5" customHeight="1"/>
    <row r="472" ht="13.5" customHeight="1"/>
    <row r="473" ht="13.5" customHeight="1"/>
    <row r="474" ht="13.5" customHeight="1"/>
    <row r="475" ht="13.5" customHeight="1"/>
    <row r="476" ht="13.5" customHeight="1"/>
    <row r="477" ht="13.5" customHeight="1"/>
    <row r="478" ht="13.5" customHeight="1"/>
    <row r="479" ht="13.5" customHeight="1"/>
    <row r="480" ht="13.5" customHeight="1"/>
    <row r="481" ht="13.5" customHeight="1"/>
    <row r="482" ht="13.5" customHeight="1"/>
    <row r="483" ht="13.5" customHeight="1"/>
    <row r="484" ht="13.5" customHeight="1"/>
    <row r="485" ht="13.5" customHeight="1"/>
    <row r="486" ht="13.5" customHeight="1"/>
    <row r="487" ht="13.5" customHeight="1"/>
    <row r="488" ht="13.5" customHeight="1"/>
    <row r="489" ht="13.5" customHeight="1"/>
    <row r="490" ht="13.5" customHeight="1"/>
    <row r="491" ht="13.5" customHeight="1"/>
    <row r="492" ht="13.5" customHeight="1"/>
    <row r="493" ht="13.5" customHeight="1"/>
    <row r="494" ht="13.5" customHeight="1"/>
    <row r="495" ht="13.5" customHeight="1"/>
    <row r="496" ht="13.5" customHeight="1"/>
    <row r="497" ht="13.5" customHeight="1"/>
    <row r="498" ht="13.5" customHeight="1"/>
    <row r="499" ht="13.5" customHeight="1"/>
    <row r="500" ht="13.5" customHeight="1"/>
    <row r="501" ht="13.5" customHeight="1"/>
    <row r="502" ht="13.5" customHeight="1"/>
    <row r="503" ht="13.5" customHeight="1"/>
    <row r="504" ht="13.5" customHeight="1"/>
    <row r="505" ht="13.5" customHeight="1"/>
    <row r="506" ht="13.5" customHeight="1"/>
    <row r="507" ht="13.5" customHeight="1"/>
    <row r="508" ht="13.5" customHeight="1"/>
    <row r="509" ht="13.5" customHeight="1"/>
    <row r="510" ht="13.5" customHeight="1"/>
    <row r="511" ht="13.5" customHeight="1"/>
    <row r="512" ht="13.5" customHeight="1"/>
    <row r="513" ht="13.5" customHeight="1"/>
    <row r="514" ht="13.5" customHeight="1"/>
    <row r="515" ht="13.5" customHeight="1"/>
    <row r="516" ht="13.5" customHeight="1"/>
    <row r="517" ht="13.5" customHeight="1"/>
    <row r="518" ht="13.5" customHeight="1"/>
    <row r="519" ht="13.5" customHeight="1"/>
    <row r="520" ht="13.5" customHeight="1"/>
    <row r="521" ht="13.5" customHeight="1"/>
    <row r="522" ht="13.5" customHeight="1"/>
    <row r="523" ht="13.5" customHeight="1"/>
    <row r="524" ht="13.5" customHeight="1"/>
    <row r="525" ht="13.5" customHeight="1"/>
    <row r="526" ht="13.5" customHeight="1"/>
    <row r="527" ht="13.5" customHeight="1"/>
    <row r="528" ht="13.5" customHeight="1"/>
    <row r="529" ht="13.5" customHeight="1"/>
    <row r="530" ht="13.5" customHeight="1"/>
    <row r="531" ht="13.5" customHeight="1"/>
    <row r="532" ht="13.5" customHeight="1"/>
    <row r="533" ht="13.5" customHeight="1"/>
    <row r="534" ht="13.5" customHeight="1"/>
    <row r="535" ht="13.5" customHeight="1"/>
    <row r="536" ht="13.5" customHeight="1"/>
    <row r="537" ht="13.5" customHeight="1"/>
    <row r="538" ht="13.5" customHeight="1"/>
    <row r="539" ht="13.5" customHeight="1"/>
    <row r="540" ht="13.5" customHeight="1"/>
    <row r="541" ht="13.5" customHeight="1"/>
    <row r="542" ht="13.5" customHeight="1"/>
    <row r="543" ht="13.5" customHeight="1"/>
    <row r="544" ht="13.5" customHeight="1"/>
    <row r="545" ht="13.5" customHeight="1"/>
    <row r="546" ht="13.5" customHeight="1"/>
    <row r="547" ht="13.5" customHeight="1"/>
    <row r="548" ht="13.5" customHeight="1"/>
    <row r="549" ht="13.5" customHeight="1"/>
    <row r="550" ht="13.5" customHeight="1"/>
    <row r="551" ht="13.5" customHeight="1"/>
    <row r="552" ht="13.5" customHeight="1"/>
    <row r="553" ht="13.5" customHeight="1"/>
    <row r="554" ht="13.5" customHeight="1"/>
    <row r="555" ht="13.5" customHeight="1"/>
    <row r="556" ht="13.5" customHeight="1"/>
    <row r="557" ht="13.5" customHeight="1"/>
    <row r="558" ht="13.5" customHeight="1"/>
    <row r="559" ht="13.5" customHeight="1"/>
    <row r="560" ht="13.5" customHeight="1"/>
    <row r="561" ht="13.5" customHeight="1"/>
    <row r="562" ht="13.5" customHeight="1"/>
    <row r="563" ht="13.5" customHeight="1"/>
    <row r="564" ht="13.5" customHeight="1"/>
    <row r="565" ht="13.5" customHeight="1"/>
    <row r="566" ht="13.5" customHeight="1"/>
    <row r="567" ht="13.5" customHeight="1"/>
    <row r="568" ht="13.5" customHeight="1"/>
    <row r="569" ht="13.5" customHeight="1"/>
    <row r="570" ht="13.5" customHeight="1"/>
    <row r="571" ht="13.5" customHeight="1"/>
    <row r="572" ht="13.5" customHeight="1"/>
    <row r="573" ht="13.5" customHeight="1"/>
    <row r="574" ht="13.5" customHeight="1"/>
    <row r="575" ht="13.5" customHeight="1"/>
    <row r="576" ht="13.5" customHeight="1"/>
    <row r="577" ht="13.5" customHeight="1"/>
    <row r="578" ht="13.5" customHeight="1"/>
    <row r="579" ht="13.5" customHeight="1"/>
    <row r="580" ht="13.5" customHeight="1"/>
    <row r="581" ht="13.5" customHeight="1"/>
    <row r="582" ht="13.5" customHeight="1"/>
    <row r="583" ht="13.5" customHeight="1"/>
    <row r="584" ht="13.5" customHeight="1"/>
    <row r="585" ht="13.5" customHeight="1"/>
    <row r="586" ht="13.5" customHeight="1"/>
    <row r="587" ht="13.5" customHeight="1"/>
    <row r="588" ht="13.5" customHeight="1"/>
    <row r="589" ht="13.5" customHeight="1"/>
    <row r="590" ht="13.5" customHeight="1"/>
    <row r="591" ht="13.5" customHeight="1"/>
    <row r="592" ht="13.5" customHeight="1"/>
    <row r="593" ht="13.5" customHeight="1"/>
    <row r="594" ht="13.5" customHeight="1"/>
    <row r="595" ht="13.5" customHeight="1"/>
    <row r="596" ht="13.5" customHeight="1"/>
    <row r="597" ht="13.5" customHeight="1"/>
    <row r="598" ht="13.5" customHeight="1"/>
    <row r="599" ht="13.5" customHeight="1"/>
    <row r="600" ht="13.5" customHeight="1"/>
    <row r="601" ht="13.5" customHeight="1"/>
    <row r="602" ht="13.5" customHeight="1"/>
    <row r="603" ht="13.5" customHeight="1"/>
    <row r="604" ht="13.5" customHeight="1"/>
    <row r="605" ht="13.5" customHeight="1"/>
    <row r="606" ht="13.5" customHeight="1"/>
    <row r="607" ht="13.5" customHeight="1"/>
    <row r="608" ht="13.5" customHeight="1"/>
    <row r="609" ht="13.5" customHeight="1"/>
    <row r="610" ht="13.5" customHeight="1"/>
    <row r="611" ht="13.5" customHeight="1"/>
    <row r="612" ht="13.5" customHeight="1"/>
    <row r="613" ht="13.5" customHeight="1"/>
    <row r="614" ht="13.5" customHeight="1"/>
    <row r="615" ht="13.5" customHeight="1"/>
    <row r="616" ht="13.5" customHeight="1"/>
    <row r="617" ht="13.5" customHeight="1"/>
    <row r="618" ht="13.5" customHeight="1"/>
    <row r="619" ht="13.5" customHeight="1"/>
    <row r="620" ht="13.5" customHeight="1"/>
    <row r="621" ht="13.5" customHeight="1"/>
    <row r="622" ht="13.5" customHeight="1"/>
    <row r="623" ht="13.5" customHeight="1"/>
    <row r="624" ht="13.5" customHeight="1"/>
    <row r="625" ht="13.5" customHeight="1"/>
    <row r="626" ht="13.5" customHeight="1"/>
    <row r="627" ht="13.5" customHeight="1"/>
    <row r="628" ht="13.5" customHeight="1"/>
    <row r="629" ht="13.5" customHeight="1"/>
    <row r="630" ht="13.5" customHeight="1"/>
    <row r="631" ht="13.5" customHeight="1"/>
    <row r="632" ht="13.5" customHeight="1"/>
    <row r="633" ht="13.5" customHeight="1"/>
    <row r="634" ht="13.5" customHeight="1"/>
    <row r="635" ht="13.5" customHeight="1"/>
    <row r="636" ht="13.5" customHeight="1"/>
    <row r="637" ht="13.5" customHeight="1"/>
    <row r="638" ht="13.5" customHeight="1"/>
    <row r="639" ht="13.5" customHeight="1"/>
    <row r="640" ht="13.5" customHeight="1"/>
    <row r="641" ht="13.5" customHeight="1"/>
    <row r="642" ht="13.5" customHeight="1"/>
    <row r="643" ht="13.5" customHeight="1"/>
    <row r="644" ht="13.5" customHeight="1"/>
    <row r="645" ht="13.5" customHeight="1"/>
    <row r="646" ht="13.5" customHeight="1"/>
    <row r="647" ht="13.5" customHeight="1"/>
    <row r="648" ht="13.5" customHeight="1"/>
    <row r="649" ht="13.5" customHeight="1"/>
    <row r="650" ht="13.5" customHeight="1"/>
    <row r="651" ht="13.5" customHeight="1"/>
    <row r="652" ht="13.5" customHeight="1"/>
    <row r="653" ht="13.5" customHeight="1"/>
    <row r="654" ht="13.5" customHeight="1"/>
    <row r="655" ht="13.5" customHeight="1"/>
    <row r="656" ht="13.5" customHeight="1"/>
    <row r="657" ht="13.5" customHeight="1"/>
    <row r="658" ht="13.5" customHeight="1"/>
    <row r="659" ht="13.5" customHeight="1"/>
    <row r="660" ht="13.5" customHeight="1"/>
    <row r="661" ht="13.5" customHeight="1"/>
    <row r="662" ht="13.5" customHeight="1"/>
    <row r="663" ht="13.5" customHeight="1"/>
    <row r="664" ht="13.5" customHeight="1"/>
    <row r="665" ht="13.5" customHeight="1"/>
    <row r="666" ht="13.5" customHeight="1"/>
    <row r="667" ht="13.5" customHeight="1"/>
    <row r="668" ht="13.5" customHeight="1"/>
    <row r="669" ht="13.5" customHeight="1"/>
    <row r="670" ht="13.5" customHeight="1"/>
    <row r="671" ht="13.5" customHeight="1"/>
    <row r="672" ht="13.5" customHeight="1"/>
    <row r="673" ht="13.5" customHeight="1"/>
    <row r="674" ht="13.5" customHeight="1"/>
    <row r="675" ht="13.5" customHeight="1"/>
    <row r="676" ht="13.5" customHeight="1"/>
    <row r="677" ht="13.5" customHeight="1"/>
    <row r="678" ht="13.5" customHeight="1"/>
    <row r="679" ht="13.5" customHeight="1"/>
    <row r="680" ht="13.5" customHeight="1"/>
    <row r="681" ht="13.5" customHeight="1"/>
    <row r="682" ht="13.5" customHeight="1"/>
    <row r="683" ht="13.5" customHeight="1"/>
    <row r="684" ht="13.5" customHeight="1"/>
    <row r="685" ht="13.5" customHeight="1"/>
    <row r="686" ht="13.5" customHeight="1"/>
    <row r="687" ht="13.5" customHeight="1"/>
    <row r="688" ht="13.5" customHeight="1"/>
    <row r="689" ht="13.5" customHeight="1"/>
    <row r="690" ht="13.5" customHeight="1"/>
    <row r="691" ht="13.5" customHeight="1"/>
    <row r="692" ht="13.5" customHeight="1"/>
    <row r="693" ht="13.5" customHeight="1"/>
    <row r="694" ht="13.5" customHeight="1"/>
    <row r="695" ht="13.5" customHeight="1"/>
    <row r="696" ht="13.5" customHeight="1"/>
    <row r="697" ht="13.5" customHeight="1"/>
    <row r="698" ht="13.5" customHeight="1"/>
    <row r="699" ht="13.5" customHeight="1"/>
    <row r="700" ht="13.5" customHeight="1"/>
    <row r="701" ht="13.5" customHeight="1"/>
    <row r="702" ht="13.5" customHeight="1"/>
    <row r="703" ht="13.5" customHeight="1"/>
    <row r="704" ht="13.5" customHeight="1"/>
    <row r="705" ht="13.5" customHeight="1"/>
    <row r="706" ht="13.5" customHeight="1"/>
    <row r="707" ht="13.5" customHeight="1"/>
    <row r="708" ht="13.5" customHeight="1"/>
    <row r="709" ht="13.5" customHeight="1"/>
    <row r="710" ht="13.5" customHeight="1"/>
    <row r="711" ht="13.5" customHeight="1"/>
    <row r="712" ht="13.5" customHeight="1"/>
    <row r="713" ht="13.5" customHeight="1"/>
    <row r="714" ht="13.5" customHeight="1"/>
    <row r="715" ht="13.5" customHeight="1"/>
    <row r="716" ht="13.5" customHeight="1"/>
    <row r="717" ht="13.5" customHeight="1"/>
    <row r="718" ht="13.5" customHeight="1"/>
    <row r="719" ht="13.5" customHeight="1"/>
    <row r="720" ht="13.5" customHeight="1"/>
    <row r="721" ht="13.5" customHeight="1"/>
    <row r="722" ht="13.5" customHeight="1"/>
    <row r="723" ht="13.5" customHeight="1"/>
    <row r="724" ht="13.5" customHeight="1"/>
    <row r="725" ht="13.5" customHeight="1"/>
    <row r="726" ht="13.5" customHeight="1"/>
    <row r="727" ht="13.5" customHeight="1"/>
    <row r="728" ht="13.5" customHeight="1"/>
    <row r="729" ht="13.5" customHeight="1"/>
    <row r="730" ht="13.5" customHeight="1"/>
    <row r="731" ht="13.5" customHeight="1"/>
    <row r="732" ht="13.5" customHeight="1"/>
    <row r="733" ht="13.5" customHeight="1"/>
    <row r="734" ht="13.5" customHeight="1"/>
    <row r="735" ht="13.5" customHeight="1"/>
    <row r="736" ht="13.5" customHeight="1"/>
    <row r="737" ht="13.5" customHeight="1"/>
    <row r="738" ht="13.5" customHeight="1"/>
    <row r="739" ht="13.5" customHeight="1"/>
    <row r="740" ht="13.5" customHeight="1"/>
    <row r="741" ht="13.5" customHeight="1"/>
    <row r="742" ht="13.5" customHeight="1"/>
    <row r="743" ht="13.5" customHeight="1"/>
    <row r="744" ht="13.5" customHeight="1"/>
    <row r="745" ht="13.5" customHeight="1"/>
    <row r="746" ht="13.5" customHeight="1"/>
    <row r="747" ht="13.5" customHeight="1"/>
    <row r="748" ht="13.5" customHeight="1"/>
    <row r="749" ht="13.5" customHeight="1"/>
    <row r="750" ht="13.5" customHeight="1"/>
    <row r="751" ht="13.5" customHeight="1"/>
    <row r="752" ht="13.5" customHeight="1"/>
    <row r="753" ht="13.5" customHeight="1"/>
    <row r="754" ht="13.5" customHeight="1"/>
    <row r="755" ht="13.5" customHeight="1"/>
    <row r="756" ht="13.5" customHeight="1"/>
    <row r="757" ht="13.5" customHeight="1"/>
    <row r="758" ht="13.5" customHeight="1"/>
    <row r="759" ht="13.5" customHeight="1"/>
    <row r="760" ht="13.5" customHeight="1"/>
    <row r="761" ht="13.5" customHeight="1"/>
    <row r="762" ht="13.5" customHeight="1"/>
    <row r="763" ht="13.5" customHeight="1"/>
    <row r="764" ht="13.5" customHeight="1"/>
    <row r="765" ht="13.5" customHeight="1"/>
    <row r="766" ht="13.5" customHeight="1"/>
    <row r="767" ht="13.5" customHeight="1"/>
    <row r="768" ht="13.5" customHeight="1"/>
    <row r="769" ht="13.5" customHeight="1"/>
    <row r="770" ht="13.5" customHeight="1"/>
    <row r="771" ht="13.5" customHeight="1"/>
    <row r="772" ht="13.5" customHeight="1"/>
    <row r="773" ht="13.5" customHeight="1"/>
    <row r="774" ht="13.5" customHeight="1"/>
    <row r="775" ht="13.5" customHeight="1"/>
    <row r="776" ht="13.5" customHeight="1"/>
    <row r="777" ht="13.5" customHeight="1"/>
    <row r="778" ht="13.5" customHeight="1"/>
    <row r="779" ht="13.5" customHeight="1"/>
    <row r="780" ht="13.5" customHeight="1"/>
    <row r="781" ht="13.5" customHeight="1"/>
    <row r="782" ht="13.5" customHeight="1"/>
    <row r="783" ht="13.5" customHeight="1"/>
    <row r="784" ht="13.5" customHeight="1"/>
    <row r="785" ht="13.5" customHeight="1"/>
    <row r="786" ht="13.5" customHeight="1"/>
    <row r="787" ht="13.5" customHeight="1"/>
    <row r="788" ht="13.5" customHeight="1"/>
    <row r="789" ht="13.5" customHeight="1"/>
    <row r="790" ht="13.5" customHeight="1"/>
    <row r="791" ht="13.5" customHeight="1"/>
    <row r="792" ht="13.5" customHeight="1"/>
    <row r="793" ht="13.5" customHeight="1"/>
    <row r="794" ht="13.5" customHeight="1"/>
    <row r="795" ht="13.5" customHeight="1"/>
    <row r="796" ht="13.5" customHeight="1"/>
    <row r="797" ht="13.5" customHeight="1"/>
    <row r="798" ht="13.5" customHeight="1"/>
    <row r="799" ht="13.5" customHeight="1"/>
    <row r="800" ht="13.5" customHeight="1"/>
    <row r="801" ht="13.5" customHeight="1"/>
    <row r="802" ht="13.5" customHeight="1"/>
    <row r="803" ht="13.5" customHeight="1"/>
    <row r="804" ht="13.5" customHeight="1"/>
    <row r="805" ht="13.5" customHeight="1"/>
    <row r="806" ht="13.5" customHeight="1"/>
    <row r="807" ht="13.5" customHeight="1"/>
    <row r="808" ht="13.5" customHeight="1"/>
    <row r="809" ht="13.5" customHeight="1"/>
    <row r="810" ht="13.5" customHeight="1"/>
    <row r="811" ht="13.5" customHeight="1"/>
    <row r="812" ht="13.5" customHeight="1"/>
    <row r="813" ht="13.5" customHeight="1"/>
    <row r="814" ht="13.5" customHeight="1"/>
    <row r="815" ht="13.5" customHeight="1"/>
    <row r="816" ht="13.5" customHeight="1"/>
    <row r="817" ht="13.5" customHeight="1"/>
    <row r="818" ht="13.5" customHeight="1"/>
    <row r="819" ht="13.5" customHeight="1"/>
    <row r="820" ht="13.5" customHeight="1"/>
    <row r="821" ht="13.5" customHeight="1"/>
    <row r="822" ht="13.5" customHeight="1"/>
    <row r="823" ht="13.5" customHeight="1"/>
    <row r="824" ht="13.5" customHeight="1"/>
    <row r="825" ht="13.5" customHeight="1"/>
    <row r="826" ht="13.5" customHeight="1"/>
    <row r="827" ht="13.5" customHeight="1"/>
    <row r="828" ht="13.5" customHeight="1"/>
    <row r="829" ht="13.5" customHeight="1"/>
    <row r="830" ht="13.5" customHeight="1"/>
    <row r="831" ht="13.5" customHeight="1"/>
    <row r="832" ht="13.5" customHeight="1"/>
    <row r="833" ht="13.5" customHeight="1"/>
    <row r="834" ht="13.5" customHeight="1"/>
    <row r="835" ht="13.5" customHeight="1"/>
    <row r="836" ht="13.5" customHeight="1"/>
    <row r="837" ht="13.5" customHeight="1"/>
    <row r="838" ht="13.5" customHeight="1"/>
    <row r="839" ht="13.5" customHeight="1"/>
    <row r="840" ht="13.5" customHeight="1"/>
    <row r="841" ht="13.5" customHeight="1"/>
    <row r="842" ht="13.5" customHeight="1"/>
    <row r="843" ht="13.5" customHeight="1"/>
    <row r="844" ht="13.5" customHeight="1"/>
    <row r="845" ht="13.5" customHeight="1"/>
    <row r="846" ht="13.5" customHeight="1"/>
    <row r="847" ht="13.5" customHeight="1"/>
    <row r="848" ht="13.5" customHeight="1"/>
    <row r="849" ht="13.5" customHeight="1"/>
    <row r="850" ht="13.5" customHeight="1"/>
    <row r="851" ht="13.5" customHeight="1"/>
    <row r="852" ht="13.5" customHeight="1"/>
    <row r="853" ht="13.5" customHeight="1"/>
    <row r="854" ht="13.5" customHeight="1"/>
    <row r="855" ht="13.5" customHeight="1"/>
    <row r="856" ht="13.5" customHeight="1"/>
    <row r="857" ht="13.5" customHeight="1"/>
    <row r="858" ht="13.5" customHeight="1"/>
    <row r="859" ht="13.5" customHeight="1"/>
    <row r="860" ht="13.5" customHeight="1"/>
    <row r="861" ht="13.5" customHeight="1"/>
    <row r="862" ht="13.5" customHeight="1"/>
    <row r="863" ht="13.5" customHeight="1"/>
    <row r="864" ht="13.5" customHeight="1"/>
    <row r="865" ht="13.5" customHeight="1"/>
    <row r="866" ht="13.5" customHeight="1"/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3.5" customHeight="1"/>
    <row r="932" ht="13.5" customHeight="1"/>
    <row r="933" ht="13.5" customHeight="1"/>
    <row r="934" ht="13.5" customHeight="1"/>
    <row r="935" ht="13.5" customHeight="1"/>
    <row r="936" ht="13.5" customHeight="1"/>
    <row r="937" ht="13.5" customHeight="1"/>
    <row r="938" ht="13.5" customHeight="1"/>
    <row r="939" ht="13.5" customHeight="1"/>
    <row r="940" ht="13.5" customHeight="1"/>
    <row r="941" ht="13.5" customHeight="1"/>
    <row r="942" ht="13.5" customHeight="1"/>
    <row r="943" ht="13.5" customHeight="1"/>
    <row r="944" ht="13.5" customHeight="1"/>
    <row r="945" ht="13.5" customHeight="1"/>
    <row r="946" ht="13.5" customHeight="1"/>
    <row r="947" ht="13.5" customHeight="1"/>
    <row r="948" ht="13.5" customHeight="1"/>
    <row r="949" ht="13.5" customHeight="1"/>
    <row r="950" ht="13.5" customHeight="1"/>
    <row r="951" ht="13.5" customHeight="1"/>
    <row r="952" ht="13.5" customHeight="1"/>
    <row r="953" ht="13.5" customHeight="1"/>
    <row r="954" ht="13.5" customHeight="1"/>
    <row r="955" ht="13.5" customHeight="1"/>
    <row r="956" ht="13.5" customHeight="1"/>
    <row r="957" ht="13.5" customHeight="1"/>
    <row r="958" ht="13.5" customHeight="1"/>
    <row r="959" ht="13.5" customHeight="1"/>
    <row r="960" ht="13.5" customHeight="1"/>
    <row r="961" ht="13.5" customHeight="1"/>
    <row r="962" ht="13.5" customHeight="1"/>
    <row r="963" ht="13.5" customHeight="1"/>
    <row r="964" ht="13.5" customHeight="1"/>
    <row r="965" ht="13.5" customHeight="1"/>
    <row r="966" ht="13.5" customHeight="1"/>
    <row r="967" ht="13.5" customHeight="1"/>
    <row r="968" ht="13.5" customHeight="1"/>
    <row r="969" ht="13.5" customHeight="1"/>
    <row r="970" ht="13.5" customHeight="1"/>
    <row r="971" ht="13.5" customHeight="1"/>
    <row r="972" ht="13.5" customHeight="1"/>
    <row r="973" ht="13.5" customHeight="1"/>
    <row r="974" ht="13.5" customHeight="1"/>
    <row r="975" ht="13.5" customHeight="1"/>
    <row r="976" ht="13.5" customHeight="1"/>
    <row r="977" ht="13.5" customHeight="1"/>
    <row r="978" ht="13.5" customHeight="1"/>
    <row r="979" ht="13.5" customHeight="1"/>
    <row r="980" ht="13.5" customHeight="1"/>
    <row r="981" ht="13.5" customHeight="1"/>
    <row r="982" ht="13.5" customHeight="1"/>
    <row r="983" ht="13.5" customHeight="1"/>
    <row r="984" ht="13.5" customHeight="1"/>
    <row r="985" ht="13.5" customHeight="1"/>
    <row r="986" ht="13.5" customHeight="1"/>
    <row r="987" ht="13.5" customHeight="1"/>
    <row r="988" ht="13.5" customHeight="1"/>
    <row r="989" ht="13.5" customHeight="1"/>
    <row r="990" ht="13.5" customHeight="1"/>
    <row r="991" ht="13.5" customHeight="1"/>
    <row r="992" ht="13.5" customHeight="1"/>
    <row r="993" ht="13.5" customHeight="1"/>
    <row r="994" ht="13.5" customHeight="1"/>
    <row r="995" ht="13.5" customHeight="1"/>
    <row r="996" ht="13.5" customHeight="1"/>
    <row r="997" ht="13.5" customHeight="1"/>
    <row r="998" ht="13.5" customHeight="1"/>
    <row r="999" ht="13.5" customHeight="1"/>
    <row r="1000" ht="13.5" customHeight="1"/>
  </sheetData>
  <dataValidations count="1">
    <dataValidation type="custom" allowBlank="1" showDropDown="1" sqref="A2:A60 C2:C60" xr:uid="{00000000-0002-0000-0100-000000000000}">
      <formula1>AND(ISNUMBER(A2),(NOT(OR(NOT(ISERROR(DATEVALUE(A2))), AND(ISNUMBER(A2), LEFT(CELL("format", A2))="D")))))</formula1>
    </dataValidation>
  </dataValidation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 stock Data</vt:lpstr>
      <vt:lpstr>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Pan E. Lullaby</cp:lastModifiedBy>
  <dcterms:created xsi:type="dcterms:W3CDTF">2026-03-20T13:17:42Z</dcterms:created>
  <dcterms:modified xsi:type="dcterms:W3CDTF">2026-03-23T15:18:35Z</dcterms:modified>
</cp:coreProperties>
</file>